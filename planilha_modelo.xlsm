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slne\PycharmProjects\poc_rpa_v20260523 - fast\"/>
    </mc:Choice>
  </mc:AlternateContent>
  <xr:revisionPtr revIDLastSave="0" documentId="8_{F21B1727-5860-4770-AB68-D056EC8EB569}" xr6:coauthVersionLast="36" xr6:coauthVersionMax="36" xr10:uidLastSave="{00000000-0000-0000-0000-000000000000}"/>
  <bookViews>
    <workbookView xWindow="0" yWindow="0" windowWidth="23040" windowHeight="9204" activeTab="1" xr2:uid="{00000000-000D-0000-FFFF-FFFF00000000}"/>
  </bookViews>
  <sheets>
    <sheet name="Comece por Aqui" sheetId="46" r:id="rId1"/>
    <sheet name="Relatório Base" sheetId="26" r:id="rId2"/>
  </sheets>
  <definedNames>
    <definedName name="_xleta.BASE" hidden="1" xlm="1">#NAME?</definedName>
    <definedName name="_xleta.IF" hidden="1" xlm="1">#NAME?</definedName>
    <definedName name="_xleta.INFO" hidden="1" xlm="1">#NAME?</definedName>
    <definedName name="_xleta.TEXT" hidden="1" xlm="1">#NAME?</definedName>
    <definedName name="_xleta.TEXTJOIN" hidden="1" xlm="1">#NAME?</definedName>
    <definedName name="DadosExternos_1" localSheetId="1" hidden="1">'Relatório Base'!$E$8:$AT$42</definedName>
    <definedName name="Rena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26" l="1"/>
  <c r="S43" i="26" l="1"/>
  <c r="T43" i="26"/>
  <c r="AH43" i="26"/>
  <c r="AI43" i="26"/>
  <c r="AJ43" i="26"/>
  <c r="AK43" i="26"/>
  <c r="AL43" i="26"/>
  <c r="AU27" i="26" a="1"/>
  <c r="AU27" i="26" s="1"/>
  <c r="AU28" i="26" a="1"/>
  <c r="AU28" i="26" s="1"/>
  <c r="AU29" i="26" a="1"/>
  <c r="AU29" i="26" s="1"/>
  <c r="AU30" i="26" a="1"/>
  <c r="AU30" i="26"/>
  <c r="AU31" i="26" a="1"/>
  <c r="AU31" i="26" s="1"/>
  <c r="AU32" i="26" a="1"/>
  <c r="AU32" i="26" s="1"/>
  <c r="AU17" i="26" a="1"/>
  <c r="AU17" i="26" s="1"/>
  <c r="AU20" i="26" a="1"/>
  <c r="AU20" i="26" s="1"/>
  <c r="AU21" i="26" a="1"/>
  <c r="AU21" i="26" s="1"/>
  <c r="AU22" i="26" a="1"/>
  <c r="AU22" i="26" s="1"/>
  <c r="AU23" i="26" a="1"/>
  <c r="AU23" i="26" s="1"/>
  <c r="AU24" i="26" a="1"/>
  <c r="AU24" i="26"/>
  <c r="AU25" i="26" a="1"/>
  <c r="AU25" i="26" s="1"/>
  <c r="AU26" i="26" a="1"/>
  <c r="AU26" i="26" s="1"/>
  <c r="AU19" i="26" a="1"/>
  <c r="AU19" i="26" s="1"/>
  <c r="AU15" i="26" a="1"/>
  <c r="AU15" i="26" s="1"/>
  <c r="AU41" i="26" a="1"/>
  <c r="AU41" i="26" s="1"/>
  <c r="AU40" i="26" a="1"/>
  <c r="AU40" i="26" s="1"/>
  <c r="AU14" i="26" a="1"/>
  <c r="AU14" i="26" s="1"/>
  <c r="AU16" i="26" a="1"/>
  <c r="AU16" i="26" s="1"/>
  <c r="AU13" i="26" a="1"/>
  <c r="AU13" i="26" s="1"/>
  <c r="AU38" i="26" a="1"/>
  <c r="AU38" i="26" s="1"/>
  <c r="AU39" i="26" a="1"/>
  <c r="AU39" i="26" s="1"/>
  <c r="AU9" i="26" a="1"/>
  <c r="AU9" i="26" s="1"/>
  <c r="AU10" i="26" a="1"/>
  <c r="AU10" i="26" s="1"/>
  <c r="AU12" i="26" a="1"/>
  <c r="AU12" i="26" s="1"/>
  <c r="AU11" i="26" a="1"/>
  <c r="AU11" i="26" s="1"/>
  <c r="AU33" i="26" a="1"/>
  <c r="AU33" i="26" s="1"/>
  <c r="AU34" i="26" a="1"/>
  <c r="AU34" i="26" s="1"/>
  <c r="AU35" i="26" a="1"/>
  <c r="AU35" i="26" s="1"/>
  <c r="AU36" i="26" a="1"/>
  <c r="AU36" i="26" s="1"/>
  <c r="AU37" i="26" a="1"/>
  <c r="AU37" i="26" s="1"/>
  <c r="AU18" i="26" a="1"/>
  <c r="AU18" i="26" s="1"/>
  <c r="AU42" i="26" a="1"/>
  <c r="AU42" i="26" s="1"/>
  <c r="AV27" i="26"/>
  <c r="AV28" i="26"/>
  <c r="AV29" i="26"/>
  <c r="AV30" i="26"/>
  <c r="AV31" i="26"/>
  <c r="AV32" i="26"/>
  <c r="AV17" i="26"/>
  <c r="AV20" i="26"/>
  <c r="AV21" i="26"/>
  <c r="AV22" i="26"/>
  <c r="AV23" i="26"/>
  <c r="AV24" i="26"/>
  <c r="AV25" i="26"/>
  <c r="AV26" i="26"/>
  <c r="AV19" i="26"/>
  <c r="AV15" i="26"/>
  <c r="AV41" i="26"/>
  <c r="AV40" i="26"/>
  <c r="AV14" i="26"/>
  <c r="AV16" i="26"/>
  <c r="AV13" i="26"/>
  <c r="AV38" i="26"/>
  <c r="AV39" i="26"/>
  <c r="AV9" i="26"/>
  <c r="AV10" i="26"/>
  <c r="AV12" i="26"/>
  <c r="AV11" i="26"/>
  <c r="AV33" i="26"/>
  <c r="AV34" i="26"/>
  <c r="AV35" i="26"/>
  <c r="AV36" i="26"/>
  <c r="AV37" i="26"/>
  <c r="AV18" i="26"/>
  <c r="AV42" i="26"/>
  <c r="AW27" i="26"/>
  <c r="AW28" i="26"/>
  <c r="AW29" i="26"/>
  <c r="AW30" i="26"/>
  <c r="AW31" i="26"/>
  <c r="AW32" i="26"/>
  <c r="AW17" i="26"/>
  <c r="AW20" i="26"/>
  <c r="AW21" i="26"/>
  <c r="AW22" i="26"/>
  <c r="AW23" i="26"/>
  <c r="AW24" i="26"/>
  <c r="AW25" i="26"/>
  <c r="AW26" i="26"/>
  <c r="AW19" i="26"/>
  <c r="AW15" i="26"/>
  <c r="AW41" i="26"/>
  <c r="AW40" i="26"/>
  <c r="AW14" i="26"/>
  <c r="AW16" i="26"/>
  <c r="AW13" i="26"/>
  <c r="AW38" i="26"/>
  <c r="AW39" i="26"/>
  <c r="AW9" i="26"/>
  <c r="AW10" i="26"/>
  <c r="AW12" i="26"/>
  <c r="AW11" i="26"/>
  <c r="AW33" i="26"/>
  <c r="AW34" i="26"/>
  <c r="AW35" i="26"/>
  <c r="AW36" i="26"/>
  <c r="AW37" i="26"/>
  <c r="AW18" i="26"/>
  <c r="AW42" i="26"/>
  <c r="AX27" i="26"/>
  <c r="BA27" i="26" s="1"/>
  <c r="AX28" i="26"/>
  <c r="BB28" i="26" s="1"/>
  <c r="AX29" i="26"/>
  <c r="BB29" i="26" s="1"/>
  <c r="AX30" i="26"/>
  <c r="BB30" i="26" s="1"/>
  <c r="AX31" i="26"/>
  <c r="BA31" i="26" s="1"/>
  <c r="AX32" i="26"/>
  <c r="AX17" i="26"/>
  <c r="AX20" i="26"/>
  <c r="BA20" i="26" s="1"/>
  <c r="AX21" i="26"/>
  <c r="BA21" i="26" s="1"/>
  <c r="AX22" i="26"/>
  <c r="BA22" i="26" s="1"/>
  <c r="AX23" i="26"/>
  <c r="BA23" i="26" s="1"/>
  <c r="AX24" i="26"/>
  <c r="BA24" i="26" s="1"/>
  <c r="AX25" i="26"/>
  <c r="BA25" i="26" s="1"/>
  <c r="AX26" i="26"/>
  <c r="AX19" i="26"/>
  <c r="BA19" i="26" s="1"/>
  <c r="AX15" i="26"/>
  <c r="BA15" i="26" s="1"/>
  <c r="AX41" i="26"/>
  <c r="BA41" i="26" s="1"/>
  <c r="AX40" i="26"/>
  <c r="BA40" i="26" s="1"/>
  <c r="AX14" i="26"/>
  <c r="BB14" i="26" s="1"/>
  <c r="AX16" i="26"/>
  <c r="AX13" i="26"/>
  <c r="BA13" i="26" s="1"/>
  <c r="AX38" i="26"/>
  <c r="AX39" i="26"/>
  <c r="BA39" i="26" s="1"/>
  <c r="AX9" i="26"/>
  <c r="BA9" i="26" s="1"/>
  <c r="AX10" i="26"/>
  <c r="BA10" i="26" s="1"/>
  <c r="AX12" i="26"/>
  <c r="BB12" i="26" s="1"/>
  <c r="AX11" i="26"/>
  <c r="BB11" i="26" s="1"/>
  <c r="AX33" i="26"/>
  <c r="BA33" i="26" s="1"/>
  <c r="AX34" i="26"/>
  <c r="BA34" i="26" s="1"/>
  <c r="AX35" i="26"/>
  <c r="AX36" i="26"/>
  <c r="AX37" i="26"/>
  <c r="BA37" i="26" s="1"/>
  <c r="AX18" i="26"/>
  <c r="BA18" i="26" s="1"/>
  <c r="AX42" i="26"/>
  <c r="BB42" i="26" s="1"/>
  <c r="AY27" i="26"/>
  <c r="AY28" i="26"/>
  <c r="AY29" i="26"/>
  <c r="AY30" i="26"/>
  <c r="AY31" i="26"/>
  <c r="AY32" i="26"/>
  <c r="AY17" i="26"/>
  <c r="AY20" i="26"/>
  <c r="AY21" i="26"/>
  <c r="AY22" i="26"/>
  <c r="AY23" i="26"/>
  <c r="AY24" i="26"/>
  <c r="AY25" i="26"/>
  <c r="AY26" i="26"/>
  <c r="AY19" i="26"/>
  <c r="AY15" i="26"/>
  <c r="AY41" i="26"/>
  <c r="AY40" i="26"/>
  <c r="AY14" i="26"/>
  <c r="AY16" i="26"/>
  <c r="AY13" i="26"/>
  <c r="AY38" i="26"/>
  <c r="AY39" i="26"/>
  <c r="AY9" i="26"/>
  <c r="AY10" i="26"/>
  <c r="AY12" i="26"/>
  <c r="AY11" i="26"/>
  <c r="AY33" i="26"/>
  <c r="AY34" i="26"/>
  <c r="AY35" i="26"/>
  <c r="AY36" i="26"/>
  <c r="AY37" i="26"/>
  <c r="AY18" i="26"/>
  <c r="AY42" i="26"/>
  <c r="AZ27" i="26"/>
  <c r="AZ28" i="26"/>
  <c r="AZ29" i="26"/>
  <c r="AZ30" i="26"/>
  <c r="AZ31" i="26"/>
  <c r="AZ32" i="26"/>
  <c r="AZ17" i="26"/>
  <c r="AZ20" i="26"/>
  <c r="AZ21" i="26"/>
  <c r="AZ22" i="26"/>
  <c r="AZ23" i="26"/>
  <c r="AZ24" i="26"/>
  <c r="AZ25" i="26"/>
  <c r="AZ26" i="26"/>
  <c r="AZ19" i="26"/>
  <c r="AZ15" i="26"/>
  <c r="AZ41" i="26"/>
  <c r="AZ40" i="26"/>
  <c r="AZ14" i="26"/>
  <c r="AZ16" i="26"/>
  <c r="AZ13" i="26"/>
  <c r="AZ38" i="26"/>
  <c r="AZ39" i="26"/>
  <c r="AZ9" i="26"/>
  <c r="AZ10" i="26"/>
  <c r="AZ12" i="26"/>
  <c r="AZ11" i="26"/>
  <c r="AZ33" i="26"/>
  <c r="AZ34" i="26"/>
  <c r="AZ35" i="26"/>
  <c r="AZ36" i="26"/>
  <c r="AZ37" i="26"/>
  <c r="AZ18" i="26"/>
  <c r="AZ42" i="26"/>
  <c r="BA32" i="26"/>
  <c r="BA17" i="26"/>
  <c r="BA26" i="26"/>
  <c r="BA16" i="26"/>
  <c r="BA38" i="26"/>
  <c r="BA35" i="26"/>
  <c r="BA36" i="26"/>
  <c r="BA42" i="26"/>
  <c r="BB31" i="26"/>
  <c r="BB32" i="26"/>
  <c r="BB17" i="26"/>
  <c r="BB20" i="26"/>
  <c r="BB25" i="26"/>
  <c r="BB26" i="26"/>
  <c r="BB19" i="26"/>
  <c r="BB15" i="26"/>
  <c r="BB16" i="26"/>
  <c r="BB13" i="26"/>
  <c r="BB38" i="26"/>
  <c r="BB39" i="26"/>
  <c r="BB9" i="26"/>
  <c r="BB34" i="26"/>
  <c r="BB35" i="26"/>
  <c r="BB36" i="26"/>
  <c r="BB37" i="26"/>
  <c r="BB33" i="26" l="1"/>
  <c r="BA30" i="26"/>
  <c r="BB24" i="26"/>
  <c r="BA14" i="26"/>
  <c r="BA29" i="26"/>
  <c r="BA11" i="26"/>
  <c r="BA28" i="26"/>
  <c r="BB23" i="26"/>
  <c r="BA12" i="26"/>
  <c r="BB40" i="26"/>
  <c r="BB22" i="26"/>
  <c r="BB18" i="26"/>
  <c r="BB10" i="26"/>
  <c r="BB41" i="26"/>
  <c r="BB21" i="26"/>
  <c r="BB27" i="26"/>
  <c r="AW43" i="26"/>
  <c r="AU43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9596B1-881E-4EA1-8D77-07C41462F6C8}" keepAlive="1" name="Consulta - Arquivo XMLContagemdeCredor" description="Conexão com a consulta 'Arquivo XMLContagemdeCredor' na pasta de trabalho." type="5" refreshedVersion="0" background="1">
    <dbPr connection="Provider=Microsoft.Mashup.OleDb.1;Data Source=$Workbook$;Location=&quot;Arquivo XMLContagemdeCredor&quot;;Extended Properties=&quot;&quot;" command="SELECT * FROM [Arquivo XMLContagemdeCredor]"/>
  </connection>
  <connection id="2" xr16:uid="{422A052B-FFF1-496C-9C4C-998677BD5EA6}" keepAlive="1" name="Consulta - Arquivo XMLContagemdeDDF025" description="Conexão com a consulta 'Arquivo XMLContagemdeDDF025' na pasta de trabalho." type="5" refreshedVersion="0" background="1">
    <dbPr connection="Provider=Microsoft.Mashup.OleDb.1;Data Source=$Workbook$;Location=&quot;Arquivo XMLContagemdeDDF025&quot;;Extended Properties=&quot;&quot;" command="SELECT * FROM [Arquivo XMLContagemdeDDF025]"/>
  </connection>
  <connection id="3" xr16:uid="{432B2C9E-5FCF-4F9A-898D-283FCD31CA09}" keepAlive="1" name="Consulta - Arquivo XMLDocumentosdeOrigem" description="Conexão com a consulta 'Arquivo XMLDocumentosdeOrigem' na pasta de trabalho." type="5" refreshedVersion="0" background="1">
    <dbPr connection="Provider=Microsoft.Mashup.OleDb.1;Data Source=$Workbook$;Location=&quot;Arquivo XMLDocumentosdeOrigem&quot;;Extended Properties=&quot;&quot;" command="SELECT * FROM [Arquivo XMLDocumentosdeOrigem]"/>
  </connection>
  <connection id="4" xr16:uid="{3BEB5C0D-05F5-48F2-AE7F-462E4753DA0F}" keepAlive="1" name="Consulta - Arquivo XMLDocumentosdeOrigemUnicos" description="Conexão com a consulta 'Arquivo XMLDocumentosdeOrigemUnicos' na pasta de trabalho." type="5" refreshedVersion="0" background="1">
    <dbPr connection="Provider=Microsoft.Mashup.OleDb.1;Data Source=$Workbook$;Location=&quot;Arquivo XMLDocumentosdeOrigemUnicos&quot;;Extended Properties=&quot;&quot;" command="SELECT * FROM [Arquivo XMLDocumentosdeOrigemUnicos]"/>
  </connection>
  <connection id="5" xr16:uid="{E812BDCD-DAB4-48DB-8B20-61C55C07D88E}" keepAlive="1" name="Consulta - ArquivoXMLBaseReferência" description="Conexão com a consulta 'ArquivoXMLBaseReferência' na pasta de trabalho." type="5" refreshedVersion="8" background="1" saveData="1">
    <dbPr connection="Provider=Microsoft.Mashup.OleDb.1;Data Source=$Workbook$;Location=ArquivoXMLBaseReferência;Extended Properties=&quot;&quot;" command="SELECT * FROM [ArquivoXMLBaseReferência]"/>
  </connection>
  <connection id="6" xr16:uid="{59B2983A-17A3-4FB0-A853-7647A8C8B760}" keepAlive="1" name="Consulta - ArquivoXMLBaseReferência (4)" description="Conexão com a consulta 'ArquivoXMLBaseReferência (4)' na pasta de trabalho." type="5" refreshedVersion="0" background="1">
    <dbPr connection="Provider=Microsoft.Mashup.OleDb.1;Data Source=$Workbook$;Location=&quot;ArquivoXMLBaseReferência (4)&quot;;Extended Properties=&quot;&quot;" command="SELECT * FROM [ArquivoXMLBaseReferência (4)]"/>
  </connection>
  <connection id="7" xr16:uid="{1E0BDD77-2099-4F95-A25B-783347E67797}" keepAlive="1" name="Consulta - ArquivoXMLPCO" description="Conexão com a consulta 'ArquivoXMLPCO' na pasta de trabalho." type="5" refreshedVersion="0" background="1">
    <dbPr connection="Provider=Microsoft.Mashup.OleDb.1;Data Source=$Workbook$;Location=ArquivoXMLPCO;Extended Properties=&quot;&quot;" command="SELECT * FROM [ArquivoXMLPCO]"/>
  </connection>
  <connection id="8" xr16:uid="{00000000-0015-0000-FFFF-FFFF00000000}" keepAlive="1" name="Consulta - BaseRelatórioGeral" description="Conexão com a consulta 'BaseRelatórioGeral' na pasta de trabalho." type="5" refreshedVersion="6" background="1" saveData="1">
    <dbPr connection="Provider=Microsoft.Mashup.OleDb.1;Data Source=$Workbook$;Location=BaseRelatórioGeral;Extended Properties=&quot;&quot;" command="SELECT * FROM [BaseRelatórioGeral]"/>
  </connection>
  <connection id="9" xr16:uid="{00000000-0015-0000-FFFF-FFFF03000000}" keepAlive="1" name="Consulta - CódigodaReceita" description="Conexão com a consulta 'CódigodaReceita' na pasta de trabalho." type="5" refreshedVersion="0" background="1">
    <dbPr connection="Provider=Microsoft.Mashup.OleDb.1;Data Source=$Workbook$;Location=CódigodaReceita;Extended Properties=&quot;&quot;" command="SELECT * FROM [CódigodaReceita]"/>
  </connection>
  <connection id="10" xr16:uid="{00000000-0015-0000-FFFF-FFFF04000000}" keepAlive="1" name="Consulta - CodNatRendEFD" description="Conexão com a consulta 'CodNatRendEFD' na pasta de trabalho." type="5" refreshedVersion="0" background="1">
    <dbPr connection="Provider=Microsoft.Mashup.OleDb.1;Data Source=$Workbook$;Location=CodNatRendEFD;Extended Properties=&quot;&quot;" command="SELECT * FROM [CodNatRendEFD]"/>
  </connection>
  <connection id="11" xr16:uid="{00000000-0015-0000-FFFF-FFFF06000000}" keepAlive="1" name="Consulta - Empenhos liquidados a pagar" description="Conexão com a consulta 'Empenhos liquidados a pagar' na pasta de trabalho." type="5" refreshedVersion="0" background="1">
    <dbPr connection="Provider=Microsoft.Mashup.OleDb.1;Data Source=$Workbook$;Location=&quot;Empenhos liquidados a pagar&quot;;Extended Properties=&quot;&quot;" command="SELECT * FROM [Empenhos liquidados a pagar]"/>
  </connection>
  <connection id="12" xr16:uid="{00000000-0015-0000-FFFF-FFFF07000000}" keepAlive="1" name="Consulta - INCAGREG" description="Conexão com a consulta 'INCAGREG' na pasta de trabalho." type="5" refreshedVersion="8" background="1" saveData="1">
    <dbPr connection="Provider=Microsoft.Mashup.OleDb.1;Data Source=$Workbook$;Location=INCAGREG;Extended Properties=&quot;&quot;" command="SELECT * FROM [INCAGREG]"/>
  </connection>
  <connection id="13" xr16:uid="{00000000-0015-0000-FFFF-FFFF09000000}" keepAlive="1" name="Consulta - INCAGREGCompleta" description="Conexão com a consulta 'INCAGREGCompleta' na pasta de trabalho." type="5" refreshedVersion="6" background="1" saveData="1">
    <dbPr connection="Provider=Microsoft.Mashup.OleDb.1;Data Source=$Workbook$;Location=INCAGREGCompleta;Extended Properties=&quot;&quot;" command="SELECT * FROM [INCAGREGCompleta]"/>
  </connection>
  <connection id="14" xr16:uid="{00000000-0015-0000-FFFF-FFFF0A000000}" keepAlive="1" name="Consulta - Mês EFDReinf" description="Conexão com a consulta 'Mês EFDReinf' na pasta de trabalho." type="5" refreshedVersion="8" background="1" saveData="1">
    <dbPr connection="Provider=Microsoft.Mashup.OleDb.1;Data Source=$Workbook$;Location=&quot;Mês EFDReinf&quot;;Extended Properties=&quot;&quot;" command="SELECT * FROM [Mês EFDReinf]"/>
  </connection>
  <connection id="15" xr16:uid="{00000000-0015-0000-FFFF-FFFF0B000000}" keepAlive="1" name="Consulta - NS CompletaDDF" description="Conexão com a consulta 'NS CompletaDDF' na pasta de trabalho." type="5" refreshedVersion="0" background="1">
    <dbPr connection="Provider=Microsoft.Mashup.OleDb.1;Data Source=$Workbook$;Location=&quot;NS CompletaDDF&quot;;Extended Properties=&quot;&quot;" command="SELECT * FROM [NS CompletaDDF]"/>
  </connection>
  <connection id="16" xr16:uid="{00000000-0015-0000-FFFF-FFFF0C000000}" keepAlive="1" name="Consulta - Ordens Bancárias" description="Conexão com a consulta 'Ordens Bancárias' na pasta de trabalho." type="5" refreshedVersion="0" background="1">
    <dbPr connection="Provider=Microsoft.Mashup.OleDb.1;Data Source=$Workbook$;Location=&quot;Ordens Bancárias&quot;;Extended Properties=&quot;&quot;" command="SELECT * FROM [Ordens Bancárias]"/>
  </connection>
  <connection id="17" xr16:uid="{00000000-0015-0000-FFFF-FFFF0D000000}" keepAlive="1" name="Consulta - TotalizadorCódigoDarf" description="Conexão com a consulta 'TotalizadorCódigoDarf' na pasta de trabalho." type="5" refreshedVersion="0" background="1">
    <dbPr connection="Provider=Microsoft.Mashup.OleDb.1;Data Source=$Workbook$;Location=TotalizadorCódigoDarf;Extended Properties=&quot;&quot;" command="SELECT * FROM [TotalizadorCódigoDarf]"/>
  </connection>
  <connection id="18" xr16:uid="{00000000-0015-0000-FFFF-FFFF0E000000}" keepAlive="1" name="Consulta - TotalizadorCódigoDarfSIAFI" description="Conexão com a consulta 'TotalizadorCódigoDarfSIAFI' na pasta de trabalho." type="5" refreshedVersion="0" background="1">
    <dbPr connection="Provider=Microsoft.Mashup.OleDb.1;Data Source=$Workbook$;Location=TotalizadorCódigoDarfSIAFI;Extended Properties=&quot;&quot;" command="SELECT * FROM [TotalizadorCódigoDarfSIAFI]"/>
  </connection>
  <connection id="19" xr16:uid="{00000000-0015-0000-FFFF-FFFF0F000000}" keepAlive="1" name="Consulta - TotalizadorCódigoDarfSIAFIIncorreto" description="Conexão com a consulta 'TotalizadorCódigoDarfSIAFIIncorreto' na pasta de trabalho." type="5" refreshedVersion="0" background="1">
    <dbPr connection="Provider=Microsoft.Mashup.OleDb.1;Data Source=$Workbook$;Location=TotalizadorCódigoDarfSIAFIIncorreto;Extended Properties=&quot;&quot;" command="SELECT * FROM [TotalizadorCódigoDarfSIAFIIncorreto]"/>
  </connection>
  <connection id="20" xr16:uid="{00000000-0015-0000-FFFF-FFFF10000000}" keepAlive="1" name="Consulta - Valor Total Darf Por documento" description="Conexão com a consulta 'Valor Total Darf Por documento' na pasta de trabalho." type="5" refreshedVersion="0" background="1">
    <dbPr connection="Provider=Microsoft.Mashup.OleDb.1;Data Source=$Workbook$;Location=&quot;Valor Total Darf Por documento&quot;;Extended Properties=&quot;&quot;" command="SELECT * FROM [Valor Total Darf Por documento]"/>
  </connection>
</connections>
</file>

<file path=xl/sharedStrings.xml><?xml version="1.0" encoding="utf-8"?>
<sst xmlns="http://schemas.openxmlformats.org/spreadsheetml/2006/main" count="881" uniqueCount="212">
  <si>
    <t>UG Pagadora</t>
  </si>
  <si>
    <t>UG Emitente</t>
  </si>
  <si>
    <t>Situação</t>
  </si>
  <si>
    <t>Observação Pré-Doc DARF</t>
  </si>
  <si>
    <t>Processo Sei</t>
  </si>
  <si>
    <t>CNPJ da Unidae Pagadora</t>
  </si>
  <si>
    <t>Recolhedor Darf</t>
  </si>
  <si>
    <t>Per.Apuração do Pre-Doc</t>
  </si>
  <si>
    <t>Código DARF SIAFI</t>
  </si>
  <si>
    <t>Nat.Rendimento Darf</t>
  </si>
  <si>
    <t>Recurso.Pre-Doc</t>
  </si>
  <si>
    <t>Base de Cálculo Darf</t>
  </si>
  <si>
    <t>Valor Receita Darf</t>
  </si>
  <si>
    <t>Mês Pgto Fornecedor</t>
  </si>
  <si>
    <t>Vinculação</t>
  </si>
  <si>
    <t>Nºdoc.Hábil</t>
  </si>
  <si>
    <t>Fonte Recursos Detalhada</t>
  </si>
  <si>
    <t>Mês Pré-Doc</t>
  </si>
  <si>
    <t>Data OB Pgto Fornecedor</t>
  </si>
  <si>
    <t>Mês Ref. EFDReinf</t>
  </si>
  <si>
    <t>CNPJ da Unidae Pagadora (00.000.000/000-00)</t>
  </si>
  <si>
    <t>CSLL</t>
  </si>
  <si>
    <t>COFINS</t>
  </si>
  <si>
    <t>Favorecido do Empenho</t>
  </si>
  <si>
    <t>Total</t>
  </si>
  <si>
    <t>Data do Vencimento</t>
  </si>
  <si>
    <t>Data do Pagamento</t>
  </si>
  <si>
    <t>Credor</t>
  </si>
  <si>
    <t>Classificação Tributária</t>
  </si>
  <si>
    <t>AGREGADO</t>
  </si>
  <si>
    <t>IR</t>
  </si>
  <si>
    <t>PIS/PASEP</t>
  </si>
  <si>
    <t>Tributo</t>
  </si>
  <si>
    <t>Código de Receita Tab4020</t>
  </si>
  <si>
    <t>Código Darf SIAFI/Tabela Código 4020</t>
  </si>
  <si>
    <t>EmpenhoVinc.Dedução</t>
  </si>
  <si>
    <t>ID Pgto/Mês EFDReinf</t>
  </si>
  <si>
    <t>DATA DO FATO GERADOR (DD/MM/AAAA) último dia do mês de apuração</t>
  </si>
  <si>
    <t>Verificação de Base/Dedução</t>
  </si>
  <si>
    <t>Nat.Rendimento.Tab4020</t>
  </si>
  <si>
    <t>ID Prédoc</t>
  </si>
  <si>
    <t>Verificação Alíquota</t>
  </si>
  <si>
    <t>ID Verificação Prédoc</t>
  </si>
  <si>
    <t>Alíquota Tab.EFDReinf</t>
  </si>
  <si>
    <t>Índice</t>
  </si>
  <si>
    <t>Mês EFDReinf Orgão</t>
  </si>
  <si>
    <t>Valor Darf Verificado</t>
  </si>
  <si>
    <t>Conferência de UG Pagadora</t>
  </si>
  <si>
    <t>Conferência de Alíquota</t>
  </si>
  <si>
    <t>http://tesourogerencial.tesouro.gov.br:80/tg/servlet/mstrWeb?evt=2001&amp;src=mstrWeb.my.fbb.fb.2001&amp;folderID=D8549789D343C3CCF0AA20A8D6181DA6&amp;Server=161.148.236.206&amp;Project=TESOURO%20GERENCIAL&amp;Port=0&amp;share=1</t>
  </si>
  <si>
    <t>Faça o login do Tesouro Gerencial e depois clique no Link</t>
  </si>
  <si>
    <t>Link Planilha Tesouro Gerencial</t>
  </si>
  <si>
    <t>IDCredor/Recolhedor</t>
  </si>
  <si>
    <t>numDocOrigem</t>
  </si>
  <si>
    <t>Valor Doc Origem</t>
  </si>
  <si>
    <t>Conferência Alíquota</t>
  </si>
  <si>
    <t>ID Alíquota</t>
  </si>
  <si>
    <t>6190</t>
  </si>
  <si>
    <t>6147</t>
  </si>
  <si>
    <t>6175</t>
  </si>
  <si>
    <t>6188</t>
  </si>
  <si>
    <t>6228</t>
  </si>
  <si>
    <t>44.365.866/0001-71</t>
  </si>
  <si>
    <t>00000044365866000171</t>
  </si>
  <si>
    <t>302122</t>
  </si>
  <si>
    <t>DDF025</t>
  </si>
  <si>
    <t>1000000000</t>
  </si>
  <si>
    <t>9,45</t>
  </si>
  <si>
    <t>Novembro/2025</t>
  </si>
  <si>
    <t>17033</t>
  </si>
  <si>
    <t>RET TRIB FED Pgto do(s) Instr.(s) de Cobrança(s) núm.(s): 6653, Contrato nº: 00018/2024  - 10.334.879/0001-61 - 3CORP SERVICOS DE TECNOLOGIA LTDA., Proc.(s) núm.(s): 00261.004617/2025-90.</t>
  </si>
  <si>
    <t>2025-12-19</t>
  </si>
  <si>
    <t>10334879000161</t>
  </si>
  <si>
    <t>1</t>
  </si>
  <si>
    <t>400</t>
  </si>
  <si>
    <t>Empenho do Exercício</t>
  </si>
  <si>
    <t>6653</t>
  </si>
  <si>
    <t>3021222025NP000195</t>
  </si>
  <si>
    <t>00261.004617/2025-90</t>
  </si>
  <si>
    <t>3CORP SERVICOS DE TECNOLOGIA LTDA.</t>
  </si>
  <si>
    <t>17029</t>
  </si>
  <si>
    <t>07432517000107</t>
  </si>
  <si>
    <t>SIMPRESS COMERCIO LOCACAO E SERVICOS LTDA</t>
  </si>
  <si>
    <t>17099</t>
  </si>
  <si>
    <t>RET TRIB FED CSLL 1 - Pgto do(s) Instr.(s) de Cobrança(s) núm.(s): 246065, Contrato nº: 00011/2024  - 06.064.175/0001-49 - AIRES TURISMO LTDA, Proc.(s) núm.(s): 00261.004583/2025-33.</t>
  </si>
  <si>
    <t>246065</t>
  </si>
  <si>
    <t>3021222025NP000199</t>
  </si>
  <si>
    <t>00261.004583/2025-33</t>
  </si>
  <si>
    <t>06064175000149</t>
  </si>
  <si>
    <t>AIRES TURISMO LTDA</t>
  </si>
  <si>
    <t>AmparadaporMedidaJudicial</t>
  </si>
  <si>
    <t>17023</t>
  </si>
  <si>
    <t>RET TRIB FED IR 2,40- Pgto do(s) Instr.(s) de Cobrança(s) núm.(s): 246065, Contrato nº: 00011/2024  - 06.064.175/0001-49 - AIRES TURISMO LTDA, Proc.(s) núm.(s): 00261.004583/2025-33.</t>
  </si>
  <si>
    <t>6256</t>
  </si>
  <si>
    <t>2,4</t>
  </si>
  <si>
    <t>IRPJ</t>
  </si>
  <si>
    <t>RET TRIB FED - Pgto do(s) Instr.(s) de Cobrança(s) núm.(s): 246063, Contrato nº: 00011/2024  - 06.064.175/0001-49 - AIRES TURISMO LTDA, Proc.(s) núm.(s): 00261.004583/2025-33.</t>
  </si>
  <si>
    <t>246063</t>
  </si>
  <si>
    <t>7,04</t>
  </si>
  <si>
    <t>3021222025NP000198</t>
  </si>
  <si>
    <t>7,05</t>
  </si>
  <si>
    <t>8850</t>
  </si>
  <si>
    <t>3,4</t>
  </si>
  <si>
    <t>17024</t>
  </si>
  <si>
    <t>RET TRIB FED -Pgto do(s) Instr.(s) de Cobrança(s) núm.(s): 246064,SEGURO Contrato nº: 00011/2024  - 06.064.175/0001-49 - AIRES TURISMO LTDA, Proc.(s) núm.(s): 00261.004583/2025-33.</t>
  </si>
  <si>
    <t>17846647000131</t>
  </si>
  <si>
    <t>246064</t>
  </si>
  <si>
    <t>3021222025NP000197</t>
  </si>
  <si>
    <t>17026</t>
  </si>
  <si>
    <t>RET TRIB FED Pgto do(s) Instr.(s) de Cobrança(s) núm.(s): 000.737.999, Contrato nº: 00002/2023  - 57.142.978/0001-05 - BRASOFTWARE INFORMATICA LTDA, Proc.(s) núm.(s): 00261.004429/2025-61, do(s) fornecimento(s)/serviço(s) prestado(s)</t>
  </si>
  <si>
    <t>57142978000105</t>
  </si>
  <si>
    <t>000.737.999</t>
  </si>
  <si>
    <t>3021222025NP000193</t>
  </si>
  <si>
    <t>00261.004429/2025-61</t>
  </si>
  <si>
    <t>BRASOFTWARE INFORMATICA LTDA</t>
  </si>
  <si>
    <t>RET TRIB FED.Pgto do(s) Instr.(s) de Cobrança(s) núm.(s): 000.744.885, Contrato nº: 00002/2023  - 57.142.978/0001-05 - BRASOFTWARE INFORMATICA LTDA, Proc.(s) núm.(s): 00261.004846/2025-12, do(s) fornecimento(s)/serviço(s) prestado(s)</t>
  </si>
  <si>
    <t>000.744.885</t>
  </si>
  <si>
    <t>3021222025NP000203</t>
  </si>
  <si>
    <t>00261.004846/2025-12</t>
  </si>
  <si>
    <t>RET. TRIB FED. sobre Pgto do(s) Instr.(s) de Cobrança(s) núm.(s): 000.738.261, Contrato nº: 00022/2024  - 57.142.978/0001-05 - BRASOFTWARE INFORMATICA LTDA, Proc.(s) núm.(s): 00261.004510/2025-41, do(s) fornecimento(s)/serviço(s) pres</t>
  </si>
  <si>
    <t>000.738.261</t>
  </si>
  <si>
    <t>3021222025NP000192</t>
  </si>
  <si>
    <t>00261.004510/2025-41</t>
  </si>
  <si>
    <t>TRIB FED - Pgto do(s) Instr.(s) de Cobrança(s) núm.(s): 8984424, Contrato nº: 00008/2022  - 07.522.669/0001-92 - NEOENERGIA DISTRIBUICAO BRASILIA S.A., Proc.(s) núm.(s): 00261.004556/2025-61.</t>
  </si>
  <si>
    <t>07522669000192</t>
  </si>
  <si>
    <t>1100106</t>
  </si>
  <si>
    <t>5,85</t>
  </si>
  <si>
    <t>3021222025NP000194</t>
  </si>
  <si>
    <t>00261.004556/2025-61</t>
  </si>
  <si>
    <t>NEOENERGIA DISTRIBUICAO BRASILIA S.A.</t>
  </si>
  <si>
    <t>17002</t>
  </si>
  <si>
    <t>RET. TRIB. FED. sobre Pgto do(s) Instr.(s) de Cobrança(s) núm.(s): 251, 252, Contrato nº: 00005/2024  - 02.316.044/0001-50 - RMC - LOCACAO DE VEICULOS E PRESTACAO DE SERVICOS LTDA, Proc.(s) núm.(s): 00261.004621/2025-58, do(s) forneci</t>
  </si>
  <si>
    <t>02316044000150</t>
  </si>
  <si>
    <t>251</t>
  </si>
  <si>
    <t>3021222025NP000202</t>
  </si>
  <si>
    <t>00261.004621/2025-58</t>
  </si>
  <si>
    <t>RMC - LOCACAO DE VEICULOS E PRESTACAO DE SERVICOS LTDA</t>
  </si>
  <si>
    <t>RET TRIB FED - Pgto do(s) Instr.(s) de Cobrança(s) núm.(s): 763200, Contrato nº: 00003/2023  - 33.683.111/0001-07 - SERVICO FEDERAL DE PROCESSAMENTO DE DADOS (SERPRO), Proc.(s) núm.(s): 00261.004724/2025-18.</t>
  </si>
  <si>
    <t>33683111000107</t>
  </si>
  <si>
    <t>763200</t>
  </si>
  <si>
    <t>3021222025NP000201</t>
  </si>
  <si>
    <t>00261.004724/2025-18</t>
  </si>
  <si>
    <t>SERVICO FEDERAL DE PROCESSAMENTO DE DADOS (SERPRO)</t>
  </si>
  <si>
    <t>Ret. Trib. Fed. sobre Pgto do(s) Instr.(s) de Cobrança(s) núm.(s): 318353, Contrato nº: 00006/2024  - 07.432.517/0001-07 - SIMPRESS COMERCIO LOCACAO E SERVICOS LTDA, Proc.(s) núm.(s): 00261.004378/2025-78, do(s) fornecimento(s)/s</t>
  </si>
  <si>
    <t>318353</t>
  </si>
  <si>
    <t>3021222025NP000184</t>
  </si>
  <si>
    <t>00261.004378/2025-78</t>
  </si>
  <si>
    <t>RET. TRIB. FED. sobre Pgto do(s) Instr.(s) de Cobrança(s) núm.(s): 319074, Contrato nº: 00006/2024  - 07.432.517/0001-07 - SIMPRESS COMERCIO LOCACAO E SERVICOS LTDA, Proc.(s) núm.(s): 00261.004426/2025-28, do(s) fornecimento(s)/serviç</t>
  </si>
  <si>
    <t>319074</t>
  </si>
  <si>
    <t>3021222025NP000185</t>
  </si>
  <si>
    <t>00261.004426/2025-28</t>
  </si>
  <si>
    <t>RET. TRIB. FED. SPgto do(s) Instr.(s) de Cobrança(s) núm.(s): 319073, Contrato nº: 00006/2024  - 07.432.517/0001-07 - SIMPRESS COMERCIO LOCACAO E SERVICOS LTDA, Proc.(s) núm.(s): 00261.004421/2025-03, do(s) fornecimento(s)/serviço(s)</t>
  </si>
  <si>
    <t>319073</t>
  </si>
  <si>
    <t>3021222025NP000188</t>
  </si>
  <si>
    <t>00261.004421/2025-03</t>
  </si>
  <si>
    <t>RET TRIB. FED. sobre Pgto do(s) Instr.(s) de Cobrança(s) núm.(s): 158373, Contrato nº: 00001/2025  - 78.533.312/0001-58 - PLANSUL PLANEJAMENTO E CONSULTORIA LTDA, Proc.(s) núm.(s): 00261.004245/2025-00, do(s) fornecimento(s)/serviço(s</t>
  </si>
  <si>
    <t>78533312000158</t>
  </si>
  <si>
    <t>158373</t>
  </si>
  <si>
    <t>3021222025NP000186</t>
  </si>
  <si>
    <t>00261.004245/2025-00</t>
  </si>
  <si>
    <t>PLANSUL PLANEJAMENTO E CONSULTORIA LTDA</t>
  </si>
  <si>
    <t>Ret. Trib. Fed.Pgto do(s) Instr.(s) de Cobrança(s) núm.(s): 1204, Contrato nº: 00003/2025  - 01.114.245/0001-02 - CONNECTOR ENGENHARIA LTDA, Proc.(s) núm.(s): 00261.004255/2025-37, do(s) fornecimento(s)/serviço(s) prestado(s) ao(s) mê</t>
  </si>
  <si>
    <t>01114245000102</t>
  </si>
  <si>
    <t>0</t>
  </si>
  <si>
    <t>1204</t>
  </si>
  <si>
    <t>3021222025NP000191</t>
  </si>
  <si>
    <t>00261.004255/2025-37</t>
  </si>
  <si>
    <t>CONNECTOR ENGENHARIA LTDA</t>
  </si>
  <si>
    <t>RET. TRIB. FED. Pgto do(s) Instr.(s) de Cobrança(s) núm.(s): 0000956, Contrato nº: 00007/2022  - 38.054.508/0001-45 - FORTALEZA SERVICOS EMPRESARIAIS LTDA, Proc.(s) núm.(s): 00261.001316/2025-12, conforme TERMO DE RECONHECIMENTO.</t>
  </si>
  <si>
    <t>38054508000145</t>
  </si>
  <si>
    <t>NF0956-RD</t>
  </si>
  <si>
    <t>3021222025NP000200</t>
  </si>
  <si>
    <t>00261.001316/2025-12</t>
  </si>
  <si>
    <t>FORTALEZA SERVICOS EMPRESARIAIS LTDA</t>
  </si>
  <si>
    <t>RET TRIB FED - Pgto do(s) Instr.(s) de Cobrança(s) núm.(s): 246065, Contrato nº: 00011/2024  - 06.064.175/0001-49 - AIRES TURISMO LTDA, Proc.(s) núm.(s): 00261.004583/2025-33, do(s) fornecimento(s)/serviço(s) prestado(s) ao(s) mês(es)</t>
  </si>
  <si>
    <t>7,06</t>
  </si>
  <si>
    <t>RET TRIB FED -Pgto do(s) Instr.(s) de Cobrança(s) núm.(s): 762211, Contrato nº: 00003/2023  - 33.683.111/0001-07 - SERVICO FEDERAL DE PROCESSAMENTO DE DADOS (SERPRO), Proc.(s) núm.(s): 00261.004606/2025-18.</t>
  </si>
  <si>
    <t>762211</t>
  </si>
  <si>
    <t>3021222025NP000196</t>
  </si>
  <si>
    <t>00261.004606/2025-18</t>
  </si>
  <si>
    <t>RET TRIB FED Pgto do(s) Instr.(s) de Cobrança(s) núm.(s): 110219, 110447, Contrato nº: 00001/2022  - 00.320.523/0001-15 - ANTONIO VENANCIO DA SILVA EMPREENDIMENTOS IMOBILIARIOS LTDA, Proc.(s) núm.(s): 00261.004623/2025-47, do(s) fo</t>
  </si>
  <si>
    <t>00320523000115</t>
  </si>
  <si>
    <t>110219</t>
  </si>
  <si>
    <t>3021222025RP000013</t>
  </si>
  <si>
    <t>00261.004623/2025-47</t>
  </si>
  <si>
    <t>17035</t>
  </si>
  <si>
    <t>Data PréDoc OK</t>
  </si>
  <si>
    <t>Dezembro/2025</t>
  </si>
  <si>
    <t>ANTONIO VENANCIO DA SILVA E</t>
  </si>
  <si>
    <t>LAYOUT MOVEIS PARA ESCRITORIO LTDA</t>
  </si>
  <si>
    <t>WISEIT - SISTEMAS E INFORMATICA LTDA</t>
  </si>
  <si>
    <t>POSITIVO TECNOLOGIA S.A.</t>
  </si>
  <si>
    <t>GRUPO MULTI S.A</t>
  </si>
  <si>
    <t>TECNO2000 INDUSTRIA E COMERCIO LTDA</t>
  </si>
  <si>
    <t>M.L COMERCIO E SERVICOS LTDA</t>
  </si>
  <si>
    <t>3MRN SEGURANCA CIBERNETICA LTDA</t>
  </si>
  <si>
    <t>GRUPO MMX COMUNICACAO VISUAL LTDA</t>
  </si>
  <si>
    <t>BSB LOCADORA DE VEICULOS LTDA</t>
  </si>
  <si>
    <t>DATA PRIVACY ENSINO LTDA</t>
  </si>
  <si>
    <t>PHONOWAY SISTEMAS LTDA</t>
  </si>
  <si>
    <t>CROSSING COMERCIO E SERVICOS DE TECNOLOGIA LTDA</t>
  </si>
  <si>
    <t>R JUAREZ DE ALMEIDA</t>
  </si>
  <si>
    <t>MEGA LICITACOES LTDA</t>
  </si>
  <si>
    <t>RCS TECNOLOGIA S/A</t>
  </si>
  <si>
    <t>NUCLEO BAIANO DE PSICOLOGIA APLICADA LTDA</t>
  </si>
  <si>
    <t>JCG SOLUCOES LTDA</t>
  </si>
  <si>
    <t>MICROTECNICA INFORMATICA LTDA</t>
  </si>
  <si>
    <t>VGS SERVICOS DE ELABORACAO E COMERCIO LTDA.</t>
  </si>
  <si>
    <t>REPREMIG REPRESENTACAO E COMERCIO DE MINAS GERAIS LTDA</t>
  </si>
  <si>
    <t>NACIONAL SERVICOS INTEGRADOS LTDA</t>
  </si>
  <si>
    <t>QUALITY GRAFICA E EDITORA LTDA</t>
  </si>
  <si>
    <t>TELTEC SOLUTIONS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</si>
</sst>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8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3" fontId="0" fillId="0" borderId="0" xfId="1" applyFont="1"/>
    <xf numFmtId="0" fontId="0" fillId="2" borderId="0" xfId="0" applyFill="1"/>
    <xf numFmtId="0" fontId="0" fillId="2" borderId="0" xfId="0" applyFill="1" applyAlignment="1">
      <alignment horizontal="center" vertical="center" wrapText="1"/>
    </xf>
    <xf numFmtId="0" fontId="0" fillId="2" borderId="0" xfId="0" applyFill="1" applyProtection="1">
      <protection locked="0"/>
    </xf>
    <xf numFmtId="0" fontId="5" fillId="2" borderId="0" xfId="0" applyFont="1" applyFill="1"/>
    <xf numFmtId="0" fontId="0" fillId="2" borderId="0" xfId="0" applyFill="1" applyAlignment="1">
      <alignment vertical="center" wrapText="1"/>
    </xf>
    <xf numFmtId="0" fontId="0" fillId="0" borderId="0" xfId="0" applyAlignment="1">
      <alignment horizontal="left" vertical="center"/>
    </xf>
    <xf numFmtId="43" fontId="0" fillId="0" borderId="0" xfId="1" applyFont="1" applyFill="1"/>
    <xf numFmtId="0" fontId="0" fillId="0" borderId="0" xfId="0" applyAlignment="1">
      <alignment horizontal="center"/>
    </xf>
    <xf numFmtId="43" fontId="0" fillId="0" borderId="0" xfId="1" applyFont="1" applyFill="1" applyAlignment="1" applyProtection="1"/>
    <xf numFmtId="0" fontId="5" fillId="0" borderId="0" xfId="0" applyFont="1" applyAlignment="1">
      <alignment horizontal="center"/>
    </xf>
    <xf numFmtId="0" fontId="0" fillId="0" borderId="0" xfId="0" applyProtection="1">
      <protection locked="0"/>
    </xf>
    <xf numFmtId="43" fontId="0" fillId="0" borderId="0" xfId="1" applyFont="1" applyFill="1" applyProtection="1"/>
    <xf numFmtId="0" fontId="6" fillId="0" borderId="0" xfId="0" applyFont="1"/>
    <xf numFmtId="14" fontId="6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 vertical="center"/>
    </xf>
    <xf numFmtId="43" fontId="5" fillId="0" borderId="0" xfId="1" applyFont="1" applyFill="1"/>
    <xf numFmtId="43" fontId="5" fillId="0" borderId="0" xfId="1" applyFont="1" applyFill="1" applyProtection="1"/>
    <xf numFmtId="43" fontId="0" fillId="0" borderId="0" xfId="1" applyFont="1" applyFill="1" applyAlignment="1">
      <alignment horizontal="center" vertical="center" wrapText="1"/>
    </xf>
    <xf numFmtId="43" fontId="0" fillId="0" borderId="0" xfId="1" applyFon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43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43" fontId="0" fillId="0" borderId="0" xfId="1" applyFont="1" applyFill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43" fontId="0" fillId="0" borderId="0" xfId="1" applyFont="1" applyFill="1" applyAlignment="1" applyProtection="1">
      <alignment horizontal="center" vertical="center"/>
    </xf>
    <xf numFmtId="43" fontId="0" fillId="0" borderId="0" xfId="1" applyFont="1" applyFill="1" applyAlignment="1" applyProtection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 applyProtection="1">
      <alignment horizontal="left" vertical="center"/>
      <protection locked="0"/>
    </xf>
    <xf numFmtId="0" fontId="7" fillId="0" borderId="0" xfId="0" applyFont="1"/>
    <xf numFmtId="0" fontId="2" fillId="3" borderId="1" xfId="0" applyFont="1" applyFill="1" applyBorder="1" applyAlignment="1">
      <alignment horizontal="center" vertical="center" wrapText="1"/>
    </xf>
    <xf numFmtId="0" fontId="8" fillId="0" borderId="1" xfId="3" applyBorder="1" applyAlignment="1">
      <alignment horizontal="center" vertical="center" wrapText="1"/>
    </xf>
    <xf numFmtId="0" fontId="5" fillId="2" borderId="0" xfId="0" applyFont="1" applyFill="1" applyProtection="1">
      <protection locked="0"/>
    </xf>
    <xf numFmtId="14" fontId="0" fillId="0" borderId="0" xfId="0" applyNumberFormat="1"/>
    <xf numFmtId="14" fontId="0" fillId="0" borderId="0" xfId="0" applyNumberFormat="1" applyAlignment="1">
      <alignment horizontal="center"/>
    </xf>
    <xf numFmtId="43" fontId="0" fillId="0" borderId="0" xfId="0" applyNumberFormat="1" applyAlignment="1" applyProtection="1">
      <alignment horizontal="center"/>
      <protection locked="0"/>
    </xf>
    <xf numFmtId="43" fontId="0" fillId="0" borderId="0" xfId="1" applyFont="1" applyAlignment="1">
      <alignment horizontal="center" vertical="center"/>
    </xf>
    <xf numFmtId="43" fontId="0" fillId="0" borderId="0" xfId="1" applyFont="1" applyAlignment="1">
      <alignment horizontal="center" vertical="center" wrapText="1"/>
    </xf>
    <xf numFmtId="43" fontId="0" fillId="0" borderId="0" xfId="1" applyFont="1" applyAlignment="1" applyProtection="1">
      <alignment horizontal="center" vertical="center"/>
      <protection locked="0"/>
    </xf>
    <xf numFmtId="43" fontId="0" fillId="0" borderId="0" xfId="0" applyNumberFormat="1"/>
    <xf numFmtId="0" fontId="0" fillId="0" borderId="0" xfId="1" applyNumberFormat="1" applyFont="1"/>
    <xf numFmtId="43" fontId="0" fillId="0" borderId="0" xfId="1" applyFont="1" applyProtection="1">
      <protection locked="0"/>
    </xf>
    <xf numFmtId="0" fontId="0" fillId="0" borderId="0" xfId="1" applyNumberFormat="1" applyFont="1" applyFill="1" applyProtection="1"/>
    <xf numFmtId="43" fontId="0" fillId="0" borderId="0" xfId="1" applyFont="1" applyFill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43" fontId="0" fillId="4" borderId="0" xfId="1" applyFont="1" applyFill="1" applyAlignment="1" applyProtection="1">
      <alignment horizontal="left" vertical="center" wrapText="1"/>
      <protection locked="0"/>
    </xf>
    <xf numFmtId="43" fontId="0" fillId="4" borderId="0" xfId="1" applyFont="1" applyFill="1" applyAlignment="1" applyProtection="1">
      <alignment horizontal="center" vertical="center" wrapText="1"/>
      <protection locked="0"/>
    </xf>
    <xf numFmtId="0" fontId="0" fillId="4" borderId="0" xfId="0" applyFill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9" fillId="0" borderId="0" xfId="0" applyFont="1"/>
    <xf numFmtId="1" fontId="9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</cellXfs>
  <cellStyles count="4">
    <cellStyle name="Hiperlink" xfId="3" builtinId="8"/>
    <cellStyle name="Normal" xfId="0" builtinId="0"/>
    <cellStyle name="Normal 2" xfId="2" xr:uid="{00000000-0005-0000-0000-000002000000}"/>
    <cellStyle name="Vírgula" xfId="1" builtinId="3"/>
  </cellStyles>
  <dxfs count="87">
    <dxf>
      <alignment horizontal="center" vertical="center" textRotation="0" wrapText="0" indent="0" justifyLastLine="0" shrinkToFit="0" readingOrder="0"/>
    </dxf>
    <dxf>
      <numFmt numFmtId="19" formatCode="dd/mm/yyyy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numFmt numFmtId="35" formatCode="_-* #,##0.00_-;\-* #,##0.00_-;_-* &quot;-&quot;??_-;_-@_-"/>
    </dxf>
    <dxf>
      <protection locked="0" hidden="0"/>
    </dxf>
    <dxf>
      <numFmt numFmtId="35" formatCode="_-* #,##0.00_-;\-* #,##0.00_-;_-* &quot;-&quot;??_-;_-@_-"/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  <protection locked="0" hidden="0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  <protection locked="0" hidden="0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  <protection locked="0" hidden="0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  <protection locked="0" hidden="0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66FFCC"/>
      <color rgb="FF4D8570"/>
      <color rgb="FF3C5C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23" Type="http://schemas.microsoft.com/office/2017/10/relationships/person" Target="persons/person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CAGREG!A1"/><Relationship Id="rId2" Type="http://schemas.openxmlformats.org/officeDocument/2006/relationships/hyperlink" Target="#'Escritura&#231;&#227;o EFD'!A1"/><Relationship Id="rId1" Type="http://schemas.openxmlformats.org/officeDocument/2006/relationships/hyperlink" Target="#'Confer&#234;ncia Geral'!A1"/><Relationship Id="rId4" Type="http://schemas.openxmlformats.org/officeDocument/2006/relationships/hyperlink" Target="#'Relat&#243;rio Base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850604</xdr:colOff>
      <xdr:row>0</xdr:row>
      <xdr:rowOff>79744</xdr:rowOff>
    </xdr:from>
    <xdr:to>
      <xdr:col>33</xdr:col>
      <xdr:colOff>407582</xdr:colOff>
      <xdr:row>3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9AE9535-CBE9-23CA-DD11-82FBEBB17DB0}"/>
            </a:ext>
          </a:extLst>
        </xdr:cNvPr>
        <xdr:cNvSpPr txBox="1"/>
      </xdr:nvSpPr>
      <xdr:spPr>
        <a:xfrm>
          <a:off x="9879418" y="79744"/>
          <a:ext cx="16099466" cy="478465"/>
        </a:xfrm>
        <a:prstGeom prst="rect">
          <a:avLst/>
        </a:prstGeom>
        <a:solidFill>
          <a:schemeClr val="accent2">
            <a:lumMod val="75000"/>
          </a:schemeClr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/>
            <a:t>2024,</a:t>
          </a:r>
          <a:r>
            <a:rPr lang="pt-BR" sz="1400" baseline="0"/>
            <a:t> </a:t>
          </a:r>
          <a:r>
            <a:rPr lang="pt-BR" sz="1400"/>
            <a:t>Renata Oliveira, Canal Contábil Analytics. Todos os direitos </a:t>
          </a:r>
          <a:r>
            <a:rPr lang="pt-BR" sz="1800"/>
            <a:t>reservados</a:t>
          </a:r>
          <a:r>
            <a:rPr lang="pt-BR" sz="1400"/>
            <a:t>. Este produto está protegido por direitos autorais e é proibida a reprodução, distribuição ou utilização não autorizada sem consentimento expresso por escrito do detentor dos direitos autorais.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3735</xdr:colOff>
      <xdr:row>14</xdr:row>
      <xdr:rowOff>133357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EC5B4FB-F799-98AD-F476-6FF7E7144DBC}"/>
            </a:ext>
          </a:extLst>
        </xdr:cNvPr>
        <xdr:cNvGrpSpPr/>
      </xdr:nvGrpSpPr>
      <xdr:grpSpPr>
        <a:xfrm>
          <a:off x="0" y="0"/>
          <a:ext cx="2100943" cy="3333757"/>
          <a:chOff x="0" y="0"/>
          <a:chExt cx="2106855" cy="3958597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CFC38758-F9EF-71E6-F715-A815DD12DFAD}"/>
              </a:ext>
            </a:extLst>
          </xdr:cNvPr>
          <xdr:cNvSpPr/>
        </xdr:nvSpPr>
        <xdr:spPr>
          <a:xfrm>
            <a:off x="0" y="17125"/>
            <a:ext cx="2106855" cy="3941472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: Cantos Superiores Arredondados 9">
            <a:extLst>
              <a:ext uri="{FF2B5EF4-FFF2-40B4-BE49-F238E27FC236}">
                <a16:creationId xmlns:a16="http://schemas.microsoft.com/office/drawing/2014/main" id="{691FA537-9FAD-28C2-7ADC-B9BCD39EC4EF}"/>
              </a:ext>
            </a:extLst>
          </xdr:cNvPr>
          <xdr:cNvSpPr/>
        </xdr:nvSpPr>
        <xdr:spPr>
          <a:xfrm rot="16200000">
            <a:off x="-862098" y="879680"/>
            <a:ext cx="3728957" cy="1969598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: Cantos Superiores Arredondados 12">
            <a:extLst>
              <a:ext uri="{FF2B5EF4-FFF2-40B4-BE49-F238E27FC236}">
                <a16:creationId xmlns:a16="http://schemas.microsoft.com/office/drawing/2014/main" id="{82B16FEA-A873-CAF3-45F9-52176EB91CB3}"/>
              </a:ext>
            </a:extLst>
          </xdr:cNvPr>
          <xdr:cNvSpPr/>
        </xdr:nvSpPr>
        <xdr:spPr>
          <a:xfrm rot="16200000">
            <a:off x="857978" y="1652851"/>
            <a:ext cx="335390" cy="1924343"/>
          </a:xfrm>
          <a:prstGeom prst="round2Same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: Cantos Superiores Arredondados 5">
            <a:extLst>
              <a:ext uri="{FF2B5EF4-FFF2-40B4-BE49-F238E27FC236}">
                <a16:creationId xmlns:a16="http://schemas.microsoft.com/office/drawing/2014/main" id="{9201DE07-BD16-4C3E-B0FE-73A825B30456}"/>
              </a:ext>
            </a:extLst>
          </xdr:cNvPr>
          <xdr:cNvSpPr/>
        </xdr:nvSpPr>
        <xdr:spPr>
          <a:xfrm rot="16200000">
            <a:off x="857027" y="1139898"/>
            <a:ext cx="330607" cy="1930764"/>
          </a:xfrm>
          <a:prstGeom prst="round2Same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EAB621-3012-6158-8CCF-2C0250B48044}"/>
              </a:ext>
            </a:extLst>
          </xdr:cNvPr>
          <xdr:cNvSpPr txBox="1"/>
        </xdr:nvSpPr>
        <xdr:spPr>
          <a:xfrm>
            <a:off x="272645" y="1951212"/>
            <a:ext cx="1705797" cy="2397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pt-BR" sz="1400" b="1" baseline="0"/>
              <a:t>Conferência Geral</a:t>
            </a:r>
            <a:endParaRPr lang="pt-BR" sz="1400" b="1"/>
          </a:p>
        </xdr:txBody>
      </xdr:sp>
      <xdr:sp macro="" textlink="">
        <xdr:nvSpPr>
          <xdr:cNvPr id="7" name="Retângulo: Cantos Superiores Arredondados 6">
            <a:extLst>
              <a:ext uri="{FF2B5EF4-FFF2-40B4-BE49-F238E27FC236}">
                <a16:creationId xmlns:a16="http://schemas.microsoft.com/office/drawing/2014/main" id="{9B76E32F-9D6A-4C92-8E58-A196DEC63F85}"/>
              </a:ext>
            </a:extLst>
          </xdr:cNvPr>
          <xdr:cNvSpPr/>
        </xdr:nvSpPr>
        <xdr:spPr>
          <a:xfrm rot="16200000">
            <a:off x="848645" y="647283"/>
            <a:ext cx="334714" cy="1934887"/>
          </a:xfrm>
          <a:prstGeom prst="round2Same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B5DCF4-459C-4FA1-A04B-890FEB66F1B5}"/>
              </a:ext>
            </a:extLst>
          </xdr:cNvPr>
          <xdr:cNvSpPr txBox="1"/>
        </xdr:nvSpPr>
        <xdr:spPr>
          <a:xfrm>
            <a:off x="275929" y="2495773"/>
            <a:ext cx="1705797" cy="2406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400" b="1" baseline="0"/>
              <a:t>Tabela Escrituração</a:t>
            </a:r>
            <a:endParaRPr lang="pt-BR" sz="1400" b="1"/>
          </a:p>
        </xdr:txBody>
      </xdr:sp>
      <xdr:sp macro="" textlink="">
        <xdr:nvSpPr>
          <xdr:cNvPr id="24" name="CaixaDeTexto 2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371834C-BB22-204E-BE7F-1DFB9AF7B15A}"/>
              </a:ext>
            </a:extLst>
          </xdr:cNvPr>
          <xdr:cNvSpPr txBox="1"/>
        </xdr:nvSpPr>
        <xdr:spPr>
          <a:xfrm>
            <a:off x="117815" y="1510538"/>
            <a:ext cx="1868418" cy="2173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400" b="1" baseline="0"/>
              <a:t>Valor INCAGREG</a:t>
            </a:r>
          </a:p>
          <a:p>
            <a:pPr algn="r"/>
            <a:endParaRPr lang="pt-BR" sz="1400" b="1" baseline="0"/>
          </a:p>
          <a:p>
            <a:pPr algn="r"/>
            <a:endParaRPr lang="pt-BR" sz="1400" b="1" baseline="0"/>
          </a:p>
          <a:p>
            <a:pPr algn="r"/>
            <a:endParaRPr lang="pt-BR" sz="1400" b="1" baseline="0"/>
          </a:p>
          <a:p>
            <a:pPr algn="r"/>
            <a:endParaRPr lang="pt-BR" sz="1400" b="1" baseline="0"/>
          </a:p>
          <a:p>
            <a:pPr algn="r"/>
            <a:endParaRPr lang="pt-BR" sz="1400" b="1"/>
          </a:p>
        </xdr:txBody>
      </xdr:sp>
      <xdr:sp macro="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424CE4A9-722D-4C66-9E98-C0337FE530A0}"/>
              </a:ext>
            </a:extLst>
          </xdr:cNvPr>
          <xdr:cNvSpPr/>
        </xdr:nvSpPr>
        <xdr:spPr>
          <a:xfrm rot="16200000">
            <a:off x="851876" y="132456"/>
            <a:ext cx="333684" cy="1934887"/>
          </a:xfrm>
          <a:prstGeom prst="round2Same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3A683AE-C036-88E7-5707-954FCFACA182}"/>
              </a:ext>
            </a:extLst>
          </xdr:cNvPr>
          <xdr:cNvSpPr txBox="1"/>
        </xdr:nvSpPr>
        <xdr:spPr>
          <a:xfrm>
            <a:off x="571872" y="934511"/>
            <a:ext cx="1325657" cy="2601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pt-BR" sz="1400" b="1"/>
              <a:t>Planilha</a:t>
            </a:r>
            <a:r>
              <a:rPr lang="pt-BR" sz="1400" b="1" baseline="0"/>
              <a:t> Base</a:t>
            </a:r>
          </a:p>
          <a:p>
            <a:pPr algn="r"/>
            <a:endParaRPr lang="pt-BR" sz="1400" b="1" baseline="0"/>
          </a:p>
          <a:p>
            <a:pPr algn="r"/>
            <a:endParaRPr lang="pt-BR" sz="1400" b="1" baseline="0"/>
          </a:p>
          <a:p>
            <a:pPr algn="r"/>
            <a:endParaRPr lang="pt-BR" sz="1400" b="1" baseline="0"/>
          </a:p>
          <a:p>
            <a:pPr algn="r"/>
            <a:endParaRPr lang="pt-BR" sz="1400" b="1" baseline="0"/>
          </a:p>
          <a:p>
            <a:pPr algn="r"/>
            <a:endParaRPr lang="pt-BR" sz="1400" b="1"/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enata Gonçalves de oliveira" id="{1C0BB847-2216-4D70-9E91-7C4669B9F7D8}" userId="e4dec887a6628518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8" xr16:uid="{00000000-0016-0000-0200-000000000000}" autoFormatId="16" applyNumberFormats="0" applyBorderFormats="0" applyFontFormats="0" applyPatternFormats="0" applyAlignmentFormats="0" applyWidthHeightFormats="0">
  <queryTableRefresh nextId="60" unboundColumnsRight="8">
    <queryTableFields count="50">
      <queryTableField id="1" name="Observação Pré-Doc DARF" tableColumnId="1"/>
      <queryTableField id="2" name="CNPJ da Unidae Pagadora" tableColumnId="2"/>
      <queryTableField id="3" name="UG Pagadora" tableColumnId="3"/>
      <queryTableField id="4" name="UG Emitente" tableColumnId="4"/>
      <queryTableField id="5" name="Data do Vencimento" tableColumnId="5"/>
      <queryTableField id="6" name="Data do Pagamento" tableColumnId="6"/>
      <queryTableField id="7" name="Situação" tableColumnId="7"/>
      <queryTableField id="8" name="Recolhedor Darf" tableColumnId="8"/>
      <queryTableField id="9" name="Per.Apuração do Pre-Doc" tableColumnId="9"/>
      <queryTableField id="10" name="Código DARF SIAFI" tableColumnId="10"/>
      <queryTableField id="11" name="Nat.Rendimento Darf" tableColumnId="11"/>
      <queryTableField id="12" name="Recurso.Pre-Doc" tableColumnId="12"/>
      <queryTableField id="13" name="Vinculação" tableColumnId="13"/>
      <queryTableField id="14" name="Fonte Recursos Detalhada" tableColumnId="14"/>
      <queryTableField id="15" name="Base de Cálculo Darf" tableColumnId="15"/>
      <queryTableField id="16" name="Valor Receita Darf" tableColumnId="16"/>
      <queryTableField id="17" name="EmpenhoVinc.Dedução" tableColumnId="17"/>
      <queryTableField id="55" name="numDocOrigem" tableColumnId="48"/>
      <queryTableField id="56" name="Valor Doc Origem" tableColumnId="49"/>
      <queryTableField id="18" name="Verificação de Base/Dedução" tableColumnId="18"/>
      <queryTableField id="19" name="Nºdoc.Hábil" tableColumnId="19"/>
      <queryTableField id="20" name="Data OB Pgto Fornecedor" tableColumnId="20"/>
      <queryTableField id="21" name="Processo Sei" tableColumnId="21"/>
      <queryTableField id="22" name="Credor" tableColumnId="22"/>
      <queryTableField id="23" name="Favorecido do Empenho" tableColumnId="23"/>
      <queryTableField id="41" name="Alíquota Tab.EFDReinf" tableColumnId="41"/>
      <queryTableField id="25" name="Mês Pgto Fornecedor" tableColumnId="25"/>
      <queryTableField id="26" name="Mês Pré-Doc" tableColumnId="26"/>
      <queryTableField id="27" name="Mês Ref. EFDReinf" tableColumnId="27"/>
      <queryTableField id="28" name="IR" tableColumnId="28"/>
      <queryTableField id="29" name="AGREGADO" tableColumnId="29"/>
      <queryTableField id="30" name="CSLL" tableColumnId="30"/>
      <queryTableField id="32" name="PIS/PASEP" tableColumnId="32"/>
      <queryTableField id="33" name="COFINS" tableColumnId="33"/>
      <queryTableField id="31" name="Código Darf SIAFI/Tabela Código 4020" tableColumnId="31"/>
      <queryTableField id="34" name="Tributo" tableColumnId="34"/>
      <queryTableField id="35" name="Código de Receita Tab4020" tableColumnId="35"/>
      <queryTableField id="36" name="Nat.Rendimento.Tab4020" tableColumnId="36"/>
      <queryTableField id="37" name="ID Pgto/Mês EFDReinf" tableColumnId="37"/>
      <queryTableField id="38" name="ID Prédoc" tableColumnId="38"/>
      <queryTableField id="39" name="Verificação Alíquota" tableColumnId="39"/>
      <queryTableField id="43" name="Índice" tableColumnId="24"/>
      <queryTableField id="40" dataBound="0" tableColumnId="40"/>
      <queryTableField id="44" dataBound="0" tableColumnId="42"/>
      <queryTableField id="47" dataBound="0" tableColumnId="43"/>
      <queryTableField id="49" dataBound="0" tableColumnId="45"/>
      <queryTableField id="50" dataBound="0" tableColumnId="46"/>
      <queryTableField id="53" dataBound="0" tableColumnId="44"/>
      <queryTableField id="54" dataBound="0" tableColumnId="47"/>
      <queryTableField id="59" dataBound="0" tableColumnId="5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MêsDeReferênciaEFDReinf" displayName="MêsDeReferênciaEFDReinf" ref="B4:D6" totalsRowShown="0" headerRowDxfId="86" dataDxfId="85">
  <autoFilter ref="B4:D6" xr:uid="{00000000-0009-0000-0100-000008000000}"/>
  <tableColumns count="3">
    <tableColumn id="1" xr3:uid="{00000000-0010-0000-0000-000001000000}" name="Classificação Tributária" dataDxfId="84"/>
    <tableColumn id="4" xr3:uid="{00000000-0010-0000-0000-000004000000}" name="CNPJ da Unidae Pagadora (00.000.000/000-00)" dataDxfId="83"/>
    <tableColumn id="2" xr3:uid="{00000000-0010-0000-0000-000002000000}" name="DATA DO FATO GERADOR (DD/MM/AAAA) último dia do mês de apuração" dataDxfId="8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BaseRelatórioGeral" displayName="BaseRelatórioGeral" ref="E8:BB43" tableType="queryTable" totalsRowCount="1" headerRowDxfId="81" dataDxfId="80" totalsRowDxfId="79">
  <sortState ref="E9:BB42">
    <sortCondition ref="Y8:Y42"/>
  </sortState>
  <tableColumns count="50">
    <tableColumn id="1" xr3:uid="{00000000-0010-0000-0100-000001000000}" uniqueName="1" name="Observação Pré-Doc DARF" totalsRowLabel="Total" queryTableFieldId="1" totalsRowDxfId="51"/>
    <tableColumn id="2" xr3:uid="{00000000-0010-0000-0100-000002000000}" uniqueName="2" name="CNPJ da Unidae Pagadora" queryTableFieldId="2" totalsRowDxfId="50"/>
    <tableColumn id="3" xr3:uid="{00000000-0010-0000-0100-000003000000}" uniqueName="3" name="UG Pagadora" queryTableFieldId="3" dataDxfId="78" totalsRowDxfId="49"/>
    <tableColumn id="4" xr3:uid="{00000000-0010-0000-0100-000004000000}" uniqueName="4" name="UG Emitente" queryTableFieldId="4" dataDxfId="77" totalsRowDxfId="48"/>
    <tableColumn id="5" xr3:uid="{00000000-0010-0000-0100-000005000000}" uniqueName="5" name="Data do Vencimento" queryTableFieldId="5" dataDxfId="76" totalsRowDxfId="47"/>
    <tableColumn id="6" xr3:uid="{00000000-0010-0000-0100-000006000000}" uniqueName="6" name="Data do Pagamento" queryTableFieldId="6" dataDxfId="75" totalsRowDxfId="46"/>
    <tableColumn id="7" xr3:uid="{00000000-0010-0000-0100-000007000000}" uniqueName="7" name="Situação" queryTableFieldId="7" dataDxfId="2" totalsRowDxfId="45"/>
    <tableColumn id="8" xr3:uid="{00000000-0010-0000-0100-000008000000}" uniqueName="8" name="Recolhedor Darf" queryTableFieldId="8" dataDxfId="0" totalsRowDxfId="44"/>
    <tableColumn id="9" xr3:uid="{00000000-0010-0000-0100-000009000000}" uniqueName="9" name="Per.Apuração do Pre-Doc" queryTableFieldId="9" dataDxfId="1" totalsRowDxfId="43"/>
    <tableColumn id="10" xr3:uid="{00000000-0010-0000-0100-00000A000000}" uniqueName="10" name="Código DARF SIAFI" queryTableFieldId="10" dataDxfId="74" totalsRowDxfId="42"/>
    <tableColumn id="11" xr3:uid="{00000000-0010-0000-0100-00000B000000}" uniqueName="11" name="Nat.Rendimento Darf" queryTableFieldId="11" dataDxfId="73" totalsRowDxfId="41"/>
    <tableColumn id="12" xr3:uid="{00000000-0010-0000-0100-00000C000000}" uniqueName="12" name="Recurso.Pre-Doc" queryTableFieldId="12" totalsRowDxfId="40"/>
    <tableColumn id="13" xr3:uid="{00000000-0010-0000-0100-00000D000000}" uniqueName="13" name="Vinculação" queryTableFieldId="13" dataDxfId="72" totalsRowDxfId="39"/>
    <tableColumn id="14" xr3:uid="{00000000-0010-0000-0100-00000E000000}" uniqueName="14" name="Fonte Recursos Detalhada" queryTableFieldId="14" totalsRowDxfId="38"/>
    <tableColumn id="15" xr3:uid="{00000000-0010-0000-0100-00000F000000}" uniqueName="15" name="Base de Cálculo Darf" totalsRowFunction="sum" queryTableFieldId="15" totalsRowDxfId="37"/>
    <tableColumn id="16" xr3:uid="{00000000-0010-0000-0100-000010000000}" uniqueName="16" name="Valor Receita Darf" totalsRowFunction="sum" queryTableFieldId="16" dataDxfId="71" totalsRowDxfId="36" dataCellStyle="Vírgula"/>
    <tableColumn id="17" xr3:uid="{00000000-0010-0000-0100-000011000000}" uniqueName="17" name="EmpenhoVinc.Dedução" queryTableFieldId="17" dataDxfId="70" totalsRowDxfId="35" dataCellStyle="Vírgula"/>
    <tableColumn id="48" xr3:uid="{A2D70AA4-5076-4FDD-8023-7AFC1A263B78}" uniqueName="48" name="numDocOrigem" queryTableFieldId="55" dataDxfId="69" dataCellStyle="Vírgula"/>
    <tableColumn id="49" xr3:uid="{1E2666E7-B7B5-4396-B247-AF2A2D0F8C27}" uniqueName="49" name="Valor Doc Origem" queryTableFieldId="56" dataDxfId="68" totalsRowDxfId="34"/>
    <tableColumn id="18" xr3:uid="{00000000-0010-0000-0100-000012000000}" uniqueName="18" name="Verificação de Base/Dedução" queryTableFieldId="18" totalsRowDxfId="33"/>
    <tableColumn id="19" xr3:uid="{00000000-0010-0000-0100-000013000000}" uniqueName="19" name="Nºdoc.Hábil" queryTableFieldId="19" dataDxfId="67" totalsRowDxfId="32"/>
    <tableColumn id="20" xr3:uid="{00000000-0010-0000-0100-000014000000}" uniqueName="20" name="Data OB Pgto Fornecedor" queryTableFieldId="20" dataDxfId="66" totalsRowDxfId="31"/>
    <tableColumn id="21" xr3:uid="{00000000-0010-0000-0100-000015000000}" uniqueName="21" name="Processo Sei" queryTableFieldId="21" totalsRowDxfId="30"/>
    <tableColumn id="22" xr3:uid="{00000000-0010-0000-0100-000016000000}" uniqueName="22" name="Credor" queryTableFieldId="22" totalsRowDxfId="29"/>
    <tableColumn id="23" xr3:uid="{00000000-0010-0000-0100-000017000000}" uniqueName="23" name="Favorecido do Empenho" queryTableFieldId="23" totalsRowDxfId="28"/>
    <tableColumn id="41" xr3:uid="{00000000-0010-0000-0100-000029000000}" uniqueName="41" name="Alíquota Tab.EFDReinf" queryTableFieldId="41" dataDxfId="65" totalsRowDxfId="27"/>
    <tableColumn id="25" xr3:uid="{00000000-0010-0000-0100-000019000000}" uniqueName="25" name="Mês Pgto Fornecedor" queryTableFieldId="25" dataDxfId="64" totalsRowDxfId="26"/>
    <tableColumn id="26" xr3:uid="{00000000-0010-0000-0100-00001A000000}" uniqueName="26" name="Mês Pré-Doc" queryTableFieldId="26" dataDxfId="63" totalsRowDxfId="25"/>
    <tableColumn id="27" xr3:uid="{00000000-0010-0000-0100-00001B000000}" uniqueName="27" name="Mês Ref. EFDReinf" queryTableFieldId="27" dataDxfId="62" totalsRowDxfId="24"/>
    <tableColumn id="28" xr3:uid="{00000000-0010-0000-0100-00001C000000}" uniqueName="28" name="IR" totalsRowFunction="sum" queryTableFieldId="28" totalsRowDxfId="23"/>
    <tableColumn id="29" xr3:uid="{00000000-0010-0000-0100-00001D000000}" uniqueName="29" name="AGREGADO" totalsRowFunction="sum" queryTableFieldId="29" totalsRowDxfId="22"/>
    <tableColumn id="30" xr3:uid="{00000000-0010-0000-0100-00001E000000}" uniqueName="30" name="CSLL" totalsRowFunction="sum" queryTableFieldId="30" totalsRowDxfId="21"/>
    <tableColumn id="32" xr3:uid="{00000000-0010-0000-0100-000020000000}" uniqueName="32" name="PIS/PASEP" totalsRowFunction="sum" queryTableFieldId="32" totalsRowDxfId="20"/>
    <tableColumn id="33" xr3:uid="{00000000-0010-0000-0100-000021000000}" uniqueName="33" name="COFINS" totalsRowFunction="sum" queryTableFieldId="33" totalsRowDxfId="19"/>
    <tableColumn id="31" xr3:uid="{00000000-0010-0000-0100-00001F000000}" uniqueName="31" name="Código Darf SIAFI/Tabela Código 4020" queryTableFieldId="31" totalsRowDxfId="18"/>
    <tableColumn id="34" xr3:uid="{00000000-0010-0000-0100-000022000000}" uniqueName="34" name="Tributo" queryTableFieldId="34" totalsRowDxfId="17"/>
    <tableColumn id="35" xr3:uid="{00000000-0010-0000-0100-000023000000}" uniqueName="35" name="Código de Receita Tab4020" queryTableFieldId="35" dataDxfId="61" totalsRowDxfId="16"/>
    <tableColumn id="36" xr3:uid="{00000000-0010-0000-0100-000024000000}" uniqueName="36" name="Nat.Rendimento.Tab4020" queryTableFieldId="36" totalsRowDxfId="15"/>
    <tableColumn id="37" xr3:uid="{00000000-0010-0000-0100-000025000000}" uniqueName="37" name="ID Pgto/Mês EFDReinf" queryTableFieldId="37" totalsRowDxfId="14"/>
    <tableColumn id="38" xr3:uid="{00000000-0010-0000-0100-000026000000}" uniqueName="38" name="ID Prédoc" queryTableFieldId="38" dataDxfId="60" totalsRowDxfId="13"/>
    <tableColumn id="39" xr3:uid="{00000000-0010-0000-0100-000027000000}" uniqueName="39" name="Verificação Alíquota" queryTableFieldId="39" totalsRowDxfId="12"/>
    <tableColumn id="24" xr3:uid="{00000000-0010-0000-0100-000018000000}" uniqueName="24" name="Índice" queryTableFieldId="43" totalsRowDxfId="11"/>
    <tableColumn id="40" xr3:uid="{00000000-0010-0000-0100-000028000000}" uniqueName="40" name="ID Verificação Prédoc" totalsRowFunction="count" queryTableFieldId="40" dataDxfId="59" totalsRowDxfId="10" dataCellStyle="Vírgula">
      <calculatedColumnFormula array="1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calculatedColumnFormula>
    </tableColumn>
    <tableColumn id="42" xr3:uid="{00000000-0010-0000-0100-00002A000000}" uniqueName="42" name="Mês EFDReinf Orgão" queryTableFieldId="44" dataDxfId="58" totalsRowDxfId="9">
      <calculatedColumnFormula>IFERROR((CONCATENATE((MONTH(BaseRelatórioGeral[[#This Row],[Mês Pgto Fornecedor]])),"-",(YEAR(BaseRelatórioGeral[[#This Row],[Data OB Pgto Fornecedor]])))),"")</calculatedColumnFormula>
    </tableColumn>
    <tableColumn id="43" xr3:uid="{00000000-0010-0000-0100-00002B000000}" uniqueName="43" name="Valor Darf Verificado" totalsRowFunction="sum" queryTableFieldId="47" dataDxfId="57" totalsRowDxfId="8">
      <calculatedColumnFormula>BaseRelatórioGeral[[#This Row],[IR]]+BaseRelatórioGeral[[#This Row],[AGREGADO]]+BaseRelatórioGeral[[#This Row],[CSLL]]+BaseRelatórioGeral[[#This Row],[PIS/PASEP]]+BaseRelatórioGeral[[#This Row],[COFINS]]</calculatedColumnFormula>
    </tableColumn>
    <tableColumn id="45" xr3:uid="{00000000-0010-0000-0100-00002D000000}" uniqueName="45" name="Conferência de Alíquota" queryTableFieldId="49" dataDxfId="56" totalsRowDxfId="7">
      <calculatedColumnFormula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calculatedColumnFormula>
    </tableColumn>
    <tableColumn id="46" xr3:uid="{00000000-0010-0000-0100-00002E000000}" uniqueName="46" name="Conferência de UG Pagadora" queryTableFieldId="50" dataDxfId="55" totalsRowDxfId="6">
      <calculatedColumnFormula>BaseRelatórioGeral[[#This Row],[UG Pagadora]]</calculatedColumnFormula>
    </tableColumn>
    <tableColumn id="44" xr3:uid="{0969E9AF-70B7-4DF7-BF3C-C3334B499C2B}" uniqueName="44" name="IDCredor/Recolhedor" queryTableFieldId="53" dataDxfId="54" totalsRowDxfId="5">
      <calculatedColumnFormula>BaseRelatórioGeral[[#This Row],[Recolhedor Darf]]=BaseRelatórioGeral[[#This Row],[Credor]]</calculatedColumnFormula>
    </tableColumn>
    <tableColumn id="47" xr3:uid="{63D641F8-2774-417B-9649-0E3BD7368B80}" uniqueName="47" name="Conferência Alíquota" queryTableFieldId="54" dataDxfId="53" totalsRowDxfId="4">
      <calculatedColumnFormula>IF(BaseRelatórioGeral[[#This Row],[Conferência de Alíquota]]="AmparadaporMedidaJudicial","OK","Correto")</calculatedColumnFormula>
    </tableColumn>
    <tableColumn id="50" xr3:uid="{7D7DE5B7-9149-4339-9523-2BC22B59FECF}" uniqueName="50" name="ID Alíquota" queryTableFieldId="59" dataDxfId="52" totalsRowDxfId="3">
      <calculatedColumnFormula>IF(BaseRelatórioGeral[[#This Row],[Conferência de Alíquota]]="AmparadaporMedidaJudicial","AmparadaporMedidaJudicial","Ok")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tesourogerencial.tesouro.gov.br/tg/servlet/mstrWeb?evt=2001&amp;src=mstrWeb.my.fbb.fb.2001&amp;folderID=D8549789D343C3CCF0AA20A8D6181DA6&amp;Server=161.148.236.206&amp;Project=TESOURO%20GERENCIAL&amp;Port=0&amp;share=1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rgb="FFFF0000"/>
  </sheetPr>
  <dimension ref="A2:B3"/>
  <sheetViews>
    <sheetView workbookViewId="0">
      <selection activeCell="C3" sqref="C3"/>
    </sheetView>
  </sheetViews>
  <sheetFormatPr defaultRowHeight="14.4" x14ac:dyDescent="0.3"/>
  <cols>
    <col min="1" max="1" width="40.33203125" customWidth="1"/>
    <col min="2" max="2" width="65.88671875" customWidth="1"/>
  </cols>
  <sheetData>
    <row r="2" spans="1:2" ht="21.6" customHeight="1" thickBot="1" x14ac:dyDescent="0.45">
      <c r="A2" s="36" t="s">
        <v>51</v>
      </c>
    </row>
    <row r="3" spans="1:2" ht="107.4" customHeight="1" thickBot="1" x14ac:dyDescent="0.35">
      <c r="A3" s="37" t="s">
        <v>50</v>
      </c>
      <c r="B3" s="38" t="s">
        <v>49</v>
      </c>
    </row>
  </sheetData>
  <hyperlinks>
    <hyperlink ref="B3" r:id="rId1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BB604"/>
  <sheetViews>
    <sheetView showGridLines="0" tabSelected="1" showWhiteSpace="0" zoomScale="70" zoomScaleNormal="70" workbookViewId="0">
      <pane xSplit="1" topLeftCell="C1" activePane="topRight" state="frozen"/>
      <selection activeCell="A4" sqref="A4"/>
      <selection pane="topRight" activeCell="D14" sqref="D14"/>
    </sheetView>
  </sheetViews>
  <sheetFormatPr defaultColWidth="8.88671875" defaultRowHeight="14.4" x14ac:dyDescent="0.3"/>
  <cols>
    <col min="1" max="1" width="30.6640625" style="7" customWidth="1"/>
    <col min="2" max="2" width="21.33203125" style="7" hidden="1" customWidth="1"/>
    <col min="3" max="3" width="24.88671875" style="7" customWidth="1"/>
    <col min="4" max="4" width="29.33203125" style="7" customWidth="1"/>
    <col min="5" max="5" width="62" style="15" customWidth="1"/>
    <col min="6" max="6" width="23.6640625" style="15" customWidth="1"/>
    <col min="7" max="7" width="10" style="26" customWidth="1"/>
    <col min="8" max="8" width="9.6640625" style="26" customWidth="1"/>
    <col min="9" max="9" width="11.44140625" style="25" customWidth="1"/>
    <col min="10" max="10" width="12" style="25" customWidth="1"/>
    <col min="11" max="11" width="8.44140625" style="26" customWidth="1"/>
    <col min="12" max="12" width="23.44140625" style="26" customWidth="1"/>
    <col min="13" max="13" width="16.33203125" style="15" hidden="1" customWidth="1"/>
    <col min="14" max="14" width="13" style="26" hidden="1" customWidth="1"/>
    <col min="15" max="15" width="13" style="25" hidden="1" customWidth="1"/>
    <col min="16" max="16" width="11.44140625" style="15" hidden="1" customWidth="1"/>
    <col min="17" max="17" width="10.5546875" style="26" hidden="1" customWidth="1"/>
    <col min="18" max="18" width="13.88671875" style="15" hidden="1" customWidth="1"/>
    <col min="19" max="19" width="13.33203125" style="15" hidden="1" customWidth="1"/>
    <col min="20" max="20" width="13.5546875" style="29" hidden="1" customWidth="1"/>
    <col min="21" max="21" width="21.109375" style="29" hidden="1" customWidth="1"/>
    <col min="22" max="22" width="15.5546875" style="15" hidden="1" customWidth="1"/>
    <col min="23" max="23" width="14.88671875" style="45" hidden="1" customWidth="1"/>
    <col min="24" max="24" width="18.109375" style="25" hidden="1" customWidth="1"/>
    <col min="25" max="25" width="25.5546875" style="15" hidden="1" customWidth="1"/>
    <col min="26" max="26" width="20.33203125" style="15" hidden="1" customWidth="1"/>
    <col min="27" max="27" width="25.5546875" style="15" customWidth="1"/>
    <col min="28" max="28" width="24.33203125" style="35" customWidth="1"/>
    <col min="29" max="29" width="48.33203125" style="26" customWidth="1"/>
    <col min="30" max="30" width="15.33203125" style="25" customWidth="1"/>
    <col min="31" max="31" width="20.33203125" style="26" customWidth="1"/>
    <col min="32" max="32" width="16" style="15" customWidth="1"/>
    <col min="33" max="33" width="18.44140625" style="15" customWidth="1"/>
    <col min="34" max="34" width="15.33203125" style="15" customWidth="1"/>
    <col min="35" max="35" width="19.33203125" style="15" customWidth="1"/>
    <col min="36" max="36" width="13" style="15" customWidth="1"/>
    <col min="37" max="37" width="15.109375" style="15" customWidth="1"/>
    <col min="38" max="38" width="10.33203125" style="15" customWidth="1"/>
    <col min="39" max="39" width="18.109375" style="25" customWidth="1"/>
    <col min="40" max="40" width="15.109375" style="15" customWidth="1"/>
    <col min="41" max="41" width="18.5546875" style="25" customWidth="1"/>
    <col min="42" max="42" width="15.44140625" style="25" customWidth="1"/>
    <col min="43" max="43" width="18.5546875" style="25" customWidth="1"/>
    <col min="44" max="44" width="22.33203125" style="25" customWidth="1"/>
    <col min="45" max="45" width="21.44140625" style="25" customWidth="1"/>
    <col min="46" max="46" width="8.33203125" style="25" customWidth="1"/>
    <col min="47" max="47" width="18.88671875" style="28" hidden="1" customWidth="1"/>
    <col min="48" max="48" width="14.88671875" style="29" hidden="1" customWidth="1"/>
    <col min="49" max="49" width="11.44140625" style="15" hidden="1" customWidth="1"/>
    <col min="50" max="50" width="29.109375" style="15" hidden="1" customWidth="1"/>
    <col min="51" max="51" width="15.44140625" style="15" hidden="1" customWidth="1"/>
    <col min="52" max="52" width="15" style="7" hidden="1" customWidth="1"/>
    <col min="53" max="53" width="11.33203125" style="7" hidden="1" customWidth="1"/>
    <col min="54" max="54" width="10.109375" style="7" hidden="1" customWidth="1"/>
    <col min="55" max="16384" width="8.88671875" style="7"/>
  </cols>
  <sheetData>
    <row r="1" spans="2:54" s="5" customFormat="1" hidden="1" x14ac:dyDescent="0.3">
      <c r="E1"/>
      <c r="F1"/>
      <c r="G1" s="2"/>
      <c r="H1" s="2"/>
      <c r="I1" s="12"/>
      <c r="J1" s="12"/>
      <c r="K1" s="2"/>
      <c r="L1" s="2"/>
      <c r="M1"/>
      <c r="N1" s="2"/>
      <c r="O1" s="12"/>
      <c r="P1"/>
      <c r="Q1" s="2"/>
      <c r="R1"/>
      <c r="S1"/>
      <c r="T1" s="13"/>
      <c r="U1" s="13"/>
      <c r="V1" s="13"/>
      <c r="W1" s="13"/>
      <c r="X1" s="13"/>
      <c r="Y1" s="13"/>
      <c r="Z1" s="13"/>
      <c r="AA1" s="13"/>
      <c r="AB1" s="32"/>
      <c r="AC1" s="31"/>
      <c r="AD1" s="13"/>
      <c r="AE1" s="2"/>
      <c r="AF1"/>
      <c r="AG1"/>
      <c r="AH1"/>
      <c r="AI1"/>
      <c r="AJ1"/>
      <c r="AK1"/>
      <c r="AL1"/>
      <c r="AM1" s="12"/>
      <c r="AN1"/>
      <c r="AO1" s="12"/>
      <c r="AP1" s="12"/>
      <c r="AQ1" s="12"/>
      <c r="AR1" s="12"/>
      <c r="AS1" s="12"/>
      <c r="AT1" s="12"/>
      <c r="AU1" s="28"/>
      <c r="AV1" s="29"/>
      <c r="AW1" s="15"/>
      <c r="AX1" s="15"/>
      <c r="AY1" s="15"/>
      <c r="AZ1" s="7"/>
      <c r="BA1" s="7"/>
      <c r="BB1" s="7"/>
    </row>
    <row r="2" spans="2:54" s="5" customFormat="1" hidden="1" x14ac:dyDescent="0.3">
      <c r="E2"/>
      <c r="F2"/>
      <c r="G2" s="2"/>
      <c r="H2" s="2"/>
      <c r="I2" s="12"/>
      <c r="J2" s="12"/>
      <c r="K2" s="2"/>
      <c r="L2" s="2"/>
      <c r="M2"/>
      <c r="N2" s="2"/>
      <c r="O2" s="12"/>
      <c r="P2"/>
      <c r="Q2" s="2"/>
      <c r="R2"/>
      <c r="S2"/>
      <c r="T2" s="13"/>
      <c r="U2" s="13"/>
      <c r="V2" s="13"/>
      <c r="W2" s="13"/>
      <c r="X2" s="13"/>
      <c r="Y2" s="13"/>
      <c r="Z2" s="13"/>
      <c r="AA2" s="13"/>
      <c r="AB2" s="32"/>
      <c r="AC2" s="31"/>
      <c r="AD2" s="13"/>
      <c r="AE2" s="2"/>
      <c r="AF2"/>
      <c r="AG2"/>
      <c r="AH2"/>
      <c r="AI2"/>
      <c r="AJ2"/>
      <c r="AK2"/>
      <c r="AL2"/>
      <c r="AM2" s="12"/>
      <c r="AN2"/>
      <c r="AO2" s="12"/>
      <c r="AP2" s="12"/>
      <c r="AQ2" s="12"/>
      <c r="AR2" s="12"/>
      <c r="AS2" s="12"/>
      <c r="AT2" s="12"/>
      <c r="AU2" s="28"/>
      <c r="AV2" s="29"/>
      <c r="AW2" s="15"/>
      <c r="AX2" s="15"/>
      <c r="AY2" s="15"/>
      <c r="AZ2" s="7"/>
      <c r="BA2" s="7"/>
      <c r="BB2" s="7"/>
    </row>
    <row r="3" spans="2:54" s="5" customFormat="1" hidden="1" x14ac:dyDescent="0.3">
      <c r="E3"/>
      <c r="F3"/>
      <c r="G3" s="2"/>
      <c r="H3" s="2"/>
      <c r="I3" s="12"/>
      <c r="J3" s="12"/>
      <c r="K3" s="2"/>
      <c r="L3" s="2"/>
      <c r="M3"/>
      <c r="N3" s="2"/>
      <c r="O3" s="12"/>
      <c r="P3"/>
      <c r="Q3" s="2"/>
      <c r="R3"/>
      <c r="S3"/>
      <c r="T3" s="11"/>
      <c r="U3" s="16"/>
      <c r="V3"/>
      <c r="W3" s="2"/>
      <c r="X3" s="12"/>
      <c r="Y3"/>
      <c r="Z3"/>
      <c r="AA3"/>
      <c r="AB3" s="10"/>
      <c r="AC3" s="2"/>
      <c r="AD3" s="12"/>
      <c r="AE3" s="2"/>
      <c r="AF3"/>
      <c r="AG3"/>
      <c r="AH3"/>
      <c r="AI3"/>
      <c r="AJ3"/>
      <c r="AK3"/>
      <c r="AL3"/>
      <c r="AM3" s="12"/>
      <c r="AN3"/>
      <c r="AO3" s="12"/>
      <c r="AP3" s="12"/>
      <c r="AQ3" s="12"/>
      <c r="AR3" s="12"/>
      <c r="AS3" s="12"/>
      <c r="AT3" s="12"/>
      <c r="AU3" s="28"/>
      <c r="AV3" s="29"/>
      <c r="AW3" s="15"/>
      <c r="AX3" s="15"/>
      <c r="AY3" s="15"/>
      <c r="AZ3" s="7"/>
      <c r="BA3" s="7"/>
      <c r="BB3" s="7"/>
    </row>
    <row r="4" spans="2:54" s="5" customFormat="1" ht="79.5" customHeight="1" x14ac:dyDescent="0.35">
      <c r="B4" s="6" t="s">
        <v>28</v>
      </c>
      <c r="C4" s="3" t="s">
        <v>20</v>
      </c>
      <c r="D4" s="3" t="s">
        <v>37</v>
      </c>
      <c r="E4" s="17"/>
      <c r="F4" s="17"/>
      <c r="G4" s="26"/>
      <c r="H4" s="2"/>
      <c r="I4" s="12"/>
      <c r="J4" s="12"/>
      <c r="K4" s="2"/>
      <c r="L4" s="2"/>
      <c r="M4"/>
      <c r="N4" s="2"/>
      <c r="O4" s="2"/>
      <c r="P4"/>
      <c r="Q4"/>
      <c r="R4" s="11"/>
      <c r="S4" s="16"/>
      <c r="T4"/>
      <c r="U4"/>
      <c r="V4"/>
      <c r="W4" s="4"/>
      <c r="X4"/>
      <c r="Y4"/>
      <c r="Z4"/>
      <c r="AA4" s="12"/>
      <c r="AB4" s="10"/>
      <c r="AC4" s="2"/>
      <c r="AD4"/>
      <c r="AE4" s="2"/>
      <c r="AF4"/>
      <c r="AG4"/>
      <c r="AH4"/>
      <c r="AI4"/>
      <c r="AJ4"/>
      <c r="AK4"/>
      <c r="AL4"/>
      <c r="AM4" s="12"/>
      <c r="AN4" s="12"/>
      <c r="AO4" s="12"/>
      <c r="AP4" s="12"/>
      <c r="AQ4" s="12"/>
      <c r="AR4" s="16"/>
      <c r="AS4" s="16"/>
      <c r="AT4" s="16"/>
      <c r="AU4" s="28"/>
      <c r="AV4" s="15"/>
      <c r="AW4" s="15"/>
      <c r="AX4" s="15"/>
      <c r="AY4" s="15"/>
      <c r="AZ4" s="7"/>
      <c r="BA4" s="7"/>
      <c r="BB4" s="7"/>
    </row>
    <row r="5" spans="2:54" s="8" customFormat="1" ht="22.2" hidden="1" customHeight="1" x14ac:dyDescent="0.35">
      <c r="B5" s="8">
        <v>85</v>
      </c>
      <c r="C5" s="17"/>
      <c r="D5" s="18">
        <v>1</v>
      </c>
      <c r="E5" s="17"/>
      <c r="F5" s="17"/>
      <c r="G5" s="30"/>
      <c r="H5" s="20"/>
      <c r="I5" s="14"/>
      <c r="J5" s="14"/>
      <c r="K5" s="20"/>
      <c r="L5" s="20"/>
      <c r="M5" s="19"/>
      <c r="N5" s="20"/>
      <c r="O5" s="20"/>
      <c r="P5" s="19"/>
      <c r="Q5" s="19"/>
      <c r="R5" s="21"/>
      <c r="S5" s="22"/>
      <c r="T5" s="19"/>
      <c r="U5" s="20"/>
      <c r="V5" s="14"/>
      <c r="W5" s="19"/>
      <c r="X5" s="19"/>
      <c r="Y5" s="19"/>
      <c r="Z5" s="19"/>
      <c r="AA5" s="14"/>
      <c r="AB5" s="33"/>
      <c r="AC5" s="20"/>
      <c r="AD5" s="19"/>
      <c r="AE5" s="20"/>
      <c r="AF5" s="19"/>
      <c r="AG5" s="19"/>
      <c r="AH5" s="19"/>
      <c r="AI5" s="19"/>
      <c r="AJ5" s="19"/>
      <c r="AK5" s="19"/>
      <c r="AL5" s="19"/>
      <c r="AM5" s="14"/>
      <c r="AN5" s="14"/>
      <c r="AO5" s="14"/>
      <c r="AP5" s="14"/>
      <c r="AQ5" s="14"/>
      <c r="AR5" s="22"/>
      <c r="AS5" s="22"/>
      <c r="AT5" s="22"/>
      <c r="AU5" s="51"/>
      <c r="AV5" s="52"/>
      <c r="AW5" s="52"/>
      <c r="AX5" s="52"/>
      <c r="AY5" s="52"/>
      <c r="AZ5" s="39"/>
      <c r="BA5" s="39"/>
      <c r="BB5" s="39"/>
    </row>
    <row r="6" spans="2:54" s="5" customFormat="1" ht="18" x14ac:dyDescent="0.35">
      <c r="B6" s="8">
        <v>85</v>
      </c>
      <c r="C6" s="17" t="s">
        <v>62</v>
      </c>
      <c r="D6" s="18">
        <v>45991</v>
      </c>
      <c r="E6" s="17"/>
      <c r="F6" s="17"/>
      <c r="G6" s="2"/>
      <c r="H6" s="2"/>
      <c r="I6" s="12"/>
      <c r="J6" s="12"/>
      <c r="K6" s="2"/>
      <c r="L6" s="2"/>
      <c r="M6"/>
      <c r="N6" s="2"/>
      <c r="O6" s="2"/>
      <c r="P6"/>
      <c r="Q6"/>
      <c r="R6" s="11"/>
      <c r="S6" s="16"/>
      <c r="T6"/>
      <c r="U6" s="2"/>
      <c r="V6" s="12"/>
      <c r="W6" s="4"/>
      <c r="X6"/>
      <c r="Y6"/>
      <c r="Z6"/>
      <c r="AA6" s="12"/>
      <c r="AB6" s="10"/>
      <c r="AC6" s="2"/>
      <c r="AD6"/>
      <c r="AE6" s="2"/>
      <c r="AF6"/>
      <c r="AG6"/>
      <c r="AH6"/>
      <c r="AI6"/>
      <c r="AJ6"/>
      <c r="AK6"/>
      <c r="AL6"/>
      <c r="AM6" s="12"/>
      <c r="AN6" s="12"/>
      <c r="AO6" s="12"/>
      <c r="AP6" s="12"/>
      <c r="AQ6" s="12"/>
      <c r="AR6" s="16"/>
      <c r="AS6" s="16"/>
      <c r="AT6" s="16"/>
      <c r="AU6" s="28"/>
      <c r="AV6" s="15"/>
      <c r="AW6" s="15"/>
      <c r="AX6" s="15"/>
      <c r="AY6" s="15"/>
      <c r="AZ6" s="7"/>
      <c r="BA6" s="7"/>
      <c r="BB6" s="7"/>
    </row>
    <row r="7" spans="2:54" s="5" customFormat="1" x14ac:dyDescent="0.3">
      <c r="E7"/>
      <c r="F7"/>
      <c r="G7" s="2"/>
      <c r="H7" s="2"/>
      <c r="I7" s="12"/>
      <c r="J7" s="12"/>
      <c r="K7" s="2"/>
      <c r="L7" s="2"/>
      <c r="M7"/>
      <c r="N7" s="2"/>
      <c r="O7" s="12"/>
      <c r="P7"/>
      <c r="Q7" s="2"/>
      <c r="R7"/>
      <c r="S7"/>
      <c r="T7" s="11"/>
      <c r="U7" s="16"/>
      <c r="V7"/>
      <c r="W7" s="43"/>
      <c r="X7" s="12"/>
      <c r="Y7"/>
      <c r="Z7"/>
      <c r="AA7"/>
      <c r="AB7" s="10"/>
      <c r="AC7" s="2"/>
      <c r="AD7" s="12"/>
      <c r="AE7" s="2"/>
      <c r="AF7"/>
      <c r="AG7"/>
      <c r="AH7"/>
      <c r="AI7"/>
      <c r="AJ7"/>
      <c r="AK7"/>
      <c r="AL7"/>
      <c r="AM7" s="12"/>
      <c r="AN7"/>
      <c r="AO7" s="12"/>
      <c r="AP7" s="12"/>
      <c r="AQ7" s="12"/>
      <c r="AR7" s="12"/>
      <c r="AS7" s="12"/>
      <c r="AT7" s="12"/>
      <c r="AU7" s="28"/>
      <c r="AV7" s="29"/>
      <c r="AW7" s="15"/>
      <c r="AX7" s="15"/>
      <c r="AY7" s="15"/>
      <c r="AZ7" s="7"/>
      <c r="BA7" s="7"/>
      <c r="BB7" s="7"/>
    </row>
    <row r="8" spans="2:54" s="9" customFormat="1" ht="52.95" customHeight="1" x14ac:dyDescent="0.3">
      <c r="E8" s="3" t="s">
        <v>3</v>
      </c>
      <c r="F8" s="3" t="s">
        <v>5</v>
      </c>
      <c r="G8" s="3" t="s">
        <v>0</v>
      </c>
      <c r="H8" s="3" t="s">
        <v>1</v>
      </c>
      <c r="I8" s="3" t="s">
        <v>25</v>
      </c>
      <c r="J8" s="3" t="s">
        <v>26</v>
      </c>
      <c r="K8" s="3" t="s">
        <v>2</v>
      </c>
      <c r="L8" s="3" t="s">
        <v>6</v>
      </c>
      <c r="M8" s="3" t="s">
        <v>7</v>
      </c>
      <c r="N8" s="3" t="s">
        <v>8</v>
      </c>
      <c r="O8" s="3" t="s">
        <v>9</v>
      </c>
      <c r="P8" s="3" t="s">
        <v>10</v>
      </c>
      <c r="Q8" s="3" t="s">
        <v>14</v>
      </c>
      <c r="R8" s="3" t="s">
        <v>16</v>
      </c>
      <c r="S8" s="3" t="s">
        <v>11</v>
      </c>
      <c r="T8" s="23" t="s">
        <v>12</v>
      </c>
      <c r="U8" s="24" t="s">
        <v>35</v>
      </c>
      <c r="V8" s="3" t="s">
        <v>53</v>
      </c>
      <c r="W8" s="44" t="s">
        <v>54</v>
      </c>
      <c r="X8" s="3" t="s">
        <v>38</v>
      </c>
      <c r="Y8" s="3" t="s">
        <v>15</v>
      </c>
      <c r="Z8" s="3" t="s">
        <v>18</v>
      </c>
      <c r="AA8" s="3" t="s">
        <v>4</v>
      </c>
      <c r="AB8" s="3" t="s">
        <v>27</v>
      </c>
      <c r="AC8" s="3" t="s">
        <v>23</v>
      </c>
      <c r="AD8" s="34" t="s">
        <v>43</v>
      </c>
      <c r="AE8" s="3" t="s">
        <v>13</v>
      </c>
      <c r="AF8" s="3" t="s">
        <v>17</v>
      </c>
      <c r="AG8" s="3" t="s">
        <v>19</v>
      </c>
      <c r="AH8" s="3" t="s">
        <v>30</v>
      </c>
      <c r="AI8" s="3" t="s">
        <v>29</v>
      </c>
      <c r="AJ8" s="3" t="s">
        <v>21</v>
      </c>
      <c r="AK8" s="3" t="s">
        <v>31</v>
      </c>
      <c r="AL8" s="3" t="s">
        <v>22</v>
      </c>
      <c r="AM8" s="3" t="s">
        <v>34</v>
      </c>
      <c r="AN8" s="3" t="s">
        <v>32</v>
      </c>
      <c r="AO8" s="3" t="s">
        <v>33</v>
      </c>
      <c r="AP8" s="3" t="s">
        <v>39</v>
      </c>
      <c r="AQ8" s="3" t="s">
        <v>36</v>
      </c>
      <c r="AR8" s="3" t="s">
        <v>40</v>
      </c>
      <c r="AS8" s="3" t="s">
        <v>41</v>
      </c>
      <c r="AT8" s="3" t="s">
        <v>44</v>
      </c>
      <c r="AU8" s="53" t="s">
        <v>42</v>
      </c>
      <c r="AV8" s="54" t="s">
        <v>45</v>
      </c>
      <c r="AW8" s="54" t="s">
        <v>46</v>
      </c>
      <c r="AX8" s="54" t="s">
        <v>48</v>
      </c>
      <c r="AY8" s="54" t="s">
        <v>47</v>
      </c>
      <c r="AZ8" s="55" t="s">
        <v>52</v>
      </c>
      <c r="BA8" s="55" t="s">
        <v>55</v>
      </c>
      <c r="BB8" s="55" t="s">
        <v>56</v>
      </c>
    </row>
    <row r="9" spans="2:54" s="5" customFormat="1" x14ac:dyDescent="0.3">
      <c r="E9" t="s">
        <v>143</v>
      </c>
      <c r="F9" t="s">
        <v>63</v>
      </c>
      <c r="G9" s="2" t="s">
        <v>64</v>
      </c>
      <c r="H9" s="2" t="s">
        <v>64</v>
      </c>
      <c r="I9" s="12" t="s">
        <v>71</v>
      </c>
      <c r="J9" s="12" t="s">
        <v>71</v>
      </c>
      <c r="K9" s="2" t="s">
        <v>65</v>
      </c>
      <c r="L9" s="2" t="s">
        <v>81</v>
      </c>
      <c r="M9" s="40">
        <v>45965</v>
      </c>
      <c r="N9" s="2" t="s">
        <v>57</v>
      </c>
      <c r="O9" s="12">
        <v>17099</v>
      </c>
      <c r="P9" t="s">
        <v>73</v>
      </c>
      <c r="Q9" s="2" t="s">
        <v>74</v>
      </c>
      <c r="R9" t="s">
        <v>66</v>
      </c>
      <c r="S9">
        <v>1645.6</v>
      </c>
      <c r="T9" s="11">
        <v>155.51</v>
      </c>
      <c r="U9" s="49" t="s">
        <v>75</v>
      </c>
      <c r="V9" s="47" t="s">
        <v>144</v>
      </c>
      <c r="W9">
        <v>1645.6</v>
      </c>
      <c r="X9" t="s">
        <v>67</v>
      </c>
      <c r="Y9" s="2" t="s">
        <v>145</v>
      </c>
      <c r="Z9" s="41">
        <v>45996</v>
      </c>
      <c r="AA9" t="s">
        <v>146</v>
      </c>
      <c r="AB9" t="s">
        <v>81</v>
      </c>
      <c r="AC9" t="s">
        <v>82</v>
      </c>
      <c r="AD9" s="10" t="s">
        <v>67</v>
      </c>
      <c r="AE9" s="2" t="s">
        <v>68</v>
      </c>
      <c r="AF9" s="12" t="s">
        <v>68</v>
      </c>
      <c r="AG9" s="56" t="s">
        <v>187</v>
      </c>
      <c r="AH9"/>
      <c r="AI9">
        <v>155.51</v>
      </c>
      <c r="AJ9"/>
      <c r="AK9"/>
      <c r="AL9"/>
      <c r="AM9" t="b">
        <v>0</v>
      </c>
      <c r="AN9" t="s">
        <v>29</v>
      </c>
      <c r="AO9" s="12">
        <v>6190</v>
      </c>
      <c r="AP9" t="s">
        <v>83</v>
      </c>
      <c r="AQ9" t="b">
        <v>1</v>
      </c>
      <c r="AR9" s="1" t="s">
        <v>186</v>
      </c>
      <c r="AS9" t="b">
        <v>1</v>
      </c>
      <c r="AT9">
        <v>24</v>
      </c>
      <c r="AU9" s="50" t="str">
        <f t="array" ref="AU9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9" s="25" t="str">
        <f>IFERROR((CONCATENATE((MONTH(BaseRelatórioGeral[[#This Row],[Mês Pgto Fornecedor]])),"-",(YEAR(BaseRelatórioGeral[[#This Row],[Data OB Pgto Fornecedor]])))),"")</f>
        <v>11-2025</v>
      </c>
      <c r="AW9" s="25">
        <f>BaseRelatórioGeral[[#This Row],[IR]]+BaseRelatórioGeral[[#This Row],[AGREGADO]]+BaseRelatórioGeral[[#This Row],[CSLL]]+BaseRelatórioGeral[[#This Row],[PIS/PASEP]]+BaseRelatórioGeral[[#This Row],[COFINS]]</f>
        <v>155.51</v>
      </c>
      <c r="AX9" s="25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9" s="25" t="str">
        <f>BaseRelatórioGeral[[#This Row],[UG Pagadora]]</f>
        <v>302122</v>
      </c>
      <c r="AZ9" s="42" t="b">
        <f>BaseRelatórioGeral[[#This Row],[Recolhedor Darf]]=BaseRelatórioGeral[[#This Row],[Credor]]</f>
        <v>1</v>
      </c>
      <c r="BA9" s="25" t="str">
        <f>IF(BaseRelatórioGeral[[#This Row],[Conferência de Alíquota]]="AmparadaporMedidaJudicial","OK","Correto")</f>
        <v>Correto</v>
      </c>
      <c r="BB9" s="25" t="str">
        <f>IF(BaseRelatórioGeral[[#This Row],[Conferência de Alíquota]]="AmparadaporMedidaJudicial","AmparadaporMedidaJudicial","Ok")</f>
        <v>Ok</v>
      </c>
    </row>
    <row r="10" spans="2:54" x14ac:dyDescent="0.3">
      <c r="E10" t="s">
        <v>147</v>
      </c>
      <c r="F10" t="s">
        <v>63</v>
      </c>
      <c r="G10" s="2" t="s">
        <v>64</v>
      </c>
      <c r="H10" s="2" t="s">
        <v>64</v>
      </c>
      <c r="I10" s="12" t="s">
        <v>71</v>
      </c>
      <c r="J10" s="12" t="s">
        <v>71</v>
      </c>
      <c r="K10" s="2" t="s">
        <v>65</v>
      </c>
      <c r="L10" s="2" t="str">
        <f>BaseRelatórioGeral[[#This Row],[Credor]]</f>
        <v>00320523000115</v>
      </c>
      <c r="M10" s="40">
        <v>45965</v>
      </c>
      <c r="N10" s="2" t="s">
        <v>57</v>
      </c>
      <c r="O10" s="12">
        <v>17099</v>
      </c>
      <c r="P10" t="s">
        <v>73</v>
      </c>
      <c r="Q10" s="2" t="s">
        <v>74</v>
      </c>
      <c r="R10" t="s">
        <v>66</v>
      </c>
      <c r="S10">
        <v>2055.2800000000002</v>
      </c>
      <c r="T10" s="11">
        <v>194.22</v>
      </c>
      <c r="U10" s="49" t="s">
        <v>75</v>
      </c>
      <c r="V10" s="47" t="s">
        <v>148</v>
      </c>
      <c r="W10" s="46">
        <v>2055.2800000000002</v>
      </c>
      <c r="X10" t="s">
        <v>67</v>
      </c>
      <c r="Y10" s="2" t="s">
        <v>149</v>
      </c>
      <c r="Z10" s="41">
        <v>45996</v>
      </c>
      <c r="AA10" t="s">
        <v>150</v>
      </c>
      <c r="AB10" s="58" t="s">
        <v>181</v>
      </c>
      <c r="AC10" t="s">
        <v>188</v>
      </c>
      <c r="AD10" s="10" t="s">
        <v>67</v>
      </c>
      <c r="AE10" s="2" t="s">
        <v>68</v>
      </c>
      <c r="AF10" s="12" t="s">
        <v>68</v>
      </c>
      <c r="AG10" s="56" t="s">
        <v>187</v>
      </c>
      <c r="AH10"/>
      <c r="AI10">
        <v>194.22</v>
      </c>
      <c r="AJ10"/>
      <c r="AK10"/>
      <c r="AL10"/>
      <c r="AM10" t="b">
        <v>0</v>
      </c>
      <c r="AN10" t="s">
        <v>29</v>
      </c>
      <c r="AO10" s="12">
        <v>6190</v>
      </c>
      <c r="AP10" t="s">
        <v>83</v>
      </c>
      <c r="AQ10" t="b">
        <v>1</v>
      </c>
      <c r="AR10" s="1" t="s">
        <v>186</v>
      </c>
      <c r="AS10" t="b">
        <v>1</v>
      </c>
      <c r="AT10">
        <v>25</v>
      </c>
      <c r="AU10" s="50" t="str">
        <f t="array" ref="AU10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0" s="42" t="str">
        <f>IFERROR((CONCATENATE((MONTH(BaseRelatórioGeral[[#This Row],[Mês Pgto Fornecedor]])),"-",(YEAR(BaseRelatórioGeral[[#This Row],[Data OB Pgto Fornecedor]])))),"")</f>
        <v>11-2025</v>
      </c>
      <c r="AW10" s="42">
        <f>BaseRelatórioGeral[[#This Row],[IR]]+BaseRelatórioGeral[[#This Row],[AGREGADO]]+BaseRelatórioGeral[[#This Row],[CSLL]]+BaseRelatórioGeral[[#This Row],[PIS/PASEP]]+BaseRelatórioGeral[[#This Row],[COFINS]]</f>
        <v>194.22</v>
      </c>
      <c r="AX10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0" s="42" t="str">
        <f>BaseRelatórioGeral[[#This Row],[UG Pagadora]]</f>
        <v>302122</v>
      </c>
      <c r="AZ10" s="42" t="b">
        <f>BaseRelatórioGeral[[#This Row],[Recolhedor Darf]]=BaseRelatórioGeral[[#This Row],[Credor]]</f>
        <v>1</v>
      </c>
      <c r="BA10" s="25" t="str">
        <f>IF(BaseRelatórioGeral[[#This Row],[Conferência de Alíquota]]="AmparadaporMedidaJudicial","OK","Correto")</f>
        <v>Correto</v>
      </c>
      <c r="BB10" s="25" t="str">
        <f>IF(BaseRelatórioGeral[[#This Row],[Conferência de Alíquota]]="AmparadaporMedidaJudicial","AmparadaporMedidaJudicial","Ok")</f>
        <v>Ok</v>
      </c>
    </row>
    <row r="11" spans="2:54" x14ac:dyDescent="0.3">
      <c r="E11" t="s">
        <v>155</v>
      </c>
      <c r="F11" t="s">
        <v>63</v>
      </c>
      <c r="G11" s="2" t="s">
        <v>64</v>
      </c>
      <c r="H11" s="2" t="s">
        <v>64</v>
      </c>
      <c r="I11" s="12" t="s">
        <v>71</v>
      </c>
      <c r="J11" s="12" t="s">
        <v>71</v>
      </c>
      <c r="K11" s="2" t="s">
        <v>65</v>
      </c>
      <c r="L11" s="2" t="s">
        <v>156</v>
      </c>
      <c r="M11" s="40">
        <v>45965</v>
      </c>
      <c r="N11" s="2" t="s">
        <v>57</v>
      </c>
      <c r="O11" s="12">
        <v>17033</v>
      </c>
      <c r="P11" t="s">
        <v>73</v>
      </c>
      <c r="Q11" s="2" t="s">
        <v>74</v>
      </c>
      <c r="R11" t="s">
        <v>66</v>
      </c>
      <c r="S11">
        <v>306970.45</v>
      </c>
      <c r="T11" s="11">
        <v>29008.71</v>
      </c>
      <c r="U11" s="49" t="s">
        <v>75</v>
      </c>
      <c r="V11" s="47" t="s">
        <v>157</v>
      </c>
      <c r="W11" s="46">
        <v>306970.45</v>
      </c>
      <c r="X11" t="s">
        <v>67</v>
      </c>
      <c r="Y11" s="2" t="s">
        <v>158</v>
      </c>
      <c r="Z11" s="41">
        <v>45966</v>
      </c>
      <c r="AA11" t="s">
        <v>159</v>
      </c>
      <c r="AB11" t="s">
        <v>156</v>
      </c>
      <c r="AC11" t="s">
        <v>160</v>
      </c>
      <c r="AD11" s="10" t="s">
        <v>67</v>
      </c>
      <c r="AE11" s="2" t="s">
        <v>68</v>
      </c>
      <c r="AF11" s="12" t="s">
        <v>68</v>
      </c>
      <c r="AG11" s="2" t="s">
        <v>68</v>
      </c>
      <c r="AH11"/>
      <c r="AI11">
        <v>29008.71</v>
      </c>
      <c r="AJ11"/>
      <c r="AK11"/>
      <c r="AL11"/>
      <c r="AM11" t="b">
        <v>0</v>
      </c>
      <c r="AN11" t="s">
        <v>29</v>
      </c>
      <c r="AO11" s="12">
        <v>6190</v>
      </c>
      <c r="AP11" t="s">
        <v>69</v>
      </c>
      <c r="AQ11" t="b">
        <v>1</v>
      </c>
      <c r="AR11" s="1" t="s">
        <v>186</v>
      </c>
      <c r="AS11" t="b">
        <v>1</v>
      </c>
      <c r="AT11">
        <v>27</v>
      </c>
      <c r="AU11" s="50" t="str">
        <f t="array" ref="AU11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1" s="42" t="str">
        <f>IFERROR((CONCATENATE((MONTH(BaseRelatórioGeral[[#This Row],[Mês Pgto Fornecedor]])),"-",(YEAR(BaseRelatórioGeral[[#This Row],[Data OB Pgto Fornecedor]])))),"")</f>
        <v>11-2025</v>
      </c>
      <c r="AW11" s="42">
        <f>BaseRelatórioGeral[[#This Row],[IR]]+BaseRelatórioGeral[[#This Row],[AGREGADO]]+BaseRelatórioGeral[[#This Row],[CSLL]]+BaseRelatórioGeral[[#This Row],[PIS/PASEP]]+BaseRelatórioGeral[[#This Row],[COFINS]]</f>
        <v>29008.71</v>
      </c>
      <c r="AX11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1" s="42" t="str">
        <f>BaseRelatórioGeral[[#This Row],[UG Pagadora]]</f>
        <v>302122</v>
      </c>
      <c r="AZ11" s="42" t="b">
        <f>BaseRelatórioGeral[[#This Row],[Recolhedor Darf]]=BaseRelatórioGeral[[#This Row],[Credor]]</f>
        <v>1</v>
      </c>
      <c r="BA11" s="25" t="str">
        <f>IF(BaseRelatórioGeral[[#This Row],[Conferência de Alíquota]]="AmparadaporMedidaJudicial","OK","Correto")</f>
        <v>Correto</v>
      </c>
      <c r="BB11" s="25" t="str">
        <f>IF(BaseRelatórioGeral[[#This Row],[Conferência de Alíquota]]="AmparadaporMedidaJudicial","AmparadaporMedidaJudicial","Ok")</f>
        <v>Ok</v>
      </c>
    </row>
    <row r="12" spans="2:54" x14ac:dyDescent="0.3">
      <c r="E12" t="s">
        <v>151</v>
      </c>
      <c r="F12" t="s">
        <v>63</v>
      </c>
      <c r="G12" s="2" t="s">
        <v>64</v>
      </c>
      <c r="H12" s="2" t="s">
        <v>64</v>
      </c>
      <c r="I12" s="12" t="s">
        <v>71</v>
      </c>
      <c r="J12" s="12" t="s">
        <v>71</v>
      </c>
      <c r="K12" s="2" t="s">
        <v>65</v>
      </c>
      <c r="L12" s="61">
        <v>45650883000113</v>
      </c>
      <c r="M12" s="40">
        <v>45966</v>
      </c>
      <c r="N12" s="2" t="s">
        <v>57</v>
      </c>
      <c r="O12" s="12">
        <v>17099</v>
      </c>
      <c r="P12" t="s">
        <v>73</v>
      </c>
      <c r="Q12" s="2" t="s">
        <v>74</v>
      </c>
      <c r="R12" t="s">
        <v>66</v>
      </c>
      <c r="S12">
        <v>1803.4</v>
      </c>
      <c r="T12" s="11">
        <v>170.42</v>
      </c>
      <c r="U12" s="49" t="s">
        <v>75</v>
      </c>
      <c r="V12" s="47" t="s">
        <v>152</v>
      </c>
      <c r="W12" s="46">
        <v>1803.4</v>
      </c>
      <c r="X12" t="s">
        <v>67</v>
      </c>
      <c r="Y12" s="2" t="s">
        <v>153</v>
      </c>
      <c r="Z12" s="41">
        <v>45967</v>
      </c>
      <c r="AA12" t="s">
        <v>154</v>
      </c>
      <c r="AB12" s="57">
        <v>45650883000113</v>
      </c>
      <c r="AC12" t="s">
        <v>202</v>
      </c>
      <c r="AD12" s="10" t="s">
        <v>67</v>
      </c>
      <c r="AE12" s="2" t="s">
        <v>68</v>
      </c>
      <c r="AF12" s="12" t="s">
        <v>68</v>
      </c>
      <c r="AG12" s="2" t="s">
        <v>68</v>
      </c>
      <c r="AH12"/>
      <c r="AI12">
        <v>170.42</v>
      </c>
      <c r="AJ12"/>
      <c r="AK12"/>
      <c r="AL12"/>
      <c r="AM12" t="b">
        <v>0</v>
      </c>
      <c r="AN12" t="s">
        <v>29</v>
      </c>
      <c r="AO12" s="12">
        <v>6190</v>
      </c>
      <c r="AP12" t="s">
        <v>83</v>
      </c>
      <c r="AQ12" t="b">
        <v>1</v>
      </c>
      <c r="AR12" s="1" t="s">
        <v>186</v>
      </c>
      <c r="AS12" t="b">
        <v>1</v>
      </c>
      <c r="AT12">
        <v>26</v>
      </c>
      <c r="AU12" s="50" t="str">
        <f t="array" ref="AU12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2" s="42" t="str">
        <f>IFERROR((CONCATENATE((MONTH(BaseRelatórioGeral[[#This Row],[Mês Pgto Fornecedor]])),"-",(YEAR(BaseRelatórioGeral[[#This Row],[Data OB Pgto Fornecedor]])))),"")</f>
        <v>11-2025</v>
      </c>
      <c r="AW12" s="42">
        <f>BaseRelatórioGeral[[#This Row],[IR]]+BaseRelatórioGeral[[#This Row],[AGREGADO]]+BaseRelatórioGeral[[#This Row],[CSLL]]+BaseRelatórioGeral[[#This Row],[PIS/PASEP]]+BaseRelatórioGeral[[#This Row],[COFINS]]</f>
        <v>170.42</v>
      </c>
      <c r="AX12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2" s="42" t="str">
        <f>BaseRelatórioGeral[[#This Row],[UG Pagadora]]</f>
        <v>302122</v>
      </c>
      <c r="AZ12" s="42" t="b">
        <f>BaseRelatórioGeral[[#This Row],[Recolhedor Darf]]=BaseRelatórioGeral[[#This Row],[Credor]]</f>
        <v>1</v>
      </c>
      <c r="BA12" s="25" t="str">
        <f>IF(BaseRelatórioGeral[[#This Row],[Conferência de Alíquota]]="AmparadaporMedidaJudicial","OK","Correto")</f>
        <v>Correto</v>
      </c>
      <c r="BB12" s="25" t="str">
        <f>IF(BaseRelatórioGeral[[#This Row],[Conferência de Alíquota]]="AmparadaporMedidaJudicial","AmparadaporMedidaJudicial","Ok")</f>
        <v>Ok</v>
      </c>
    </row>
    <row r="13" spans="2:54" x14ac:dyDescent="0.3">
      <c r="E13" t="s">
        <v>161</v>
      </c>
      <c r="F13" t="s">
        <v>63</v>
      </c>
      <c r="G13" s="2" t="s">
        <v>64</v>
      </c>
      <c r="H13" s="2" t="s">
        <v>64</v>
      </c>
      <c r="I13" s="12" t="s">
        <v>71</v>
      </c>
      <c r="J13" s="12" t="s">
        <v>71</v>
      </c>
      <c r="K13" s="2" t="s">
        <v>65</v>
      </c>
      <c r="L13" s="2" t="s">
        <v>162</v>
      </c>
      <c r="M13" s="40">
        <v>45967</v>
      </c>
      <c r="N13" s="2" t="s">
        <v>57</v>
      </c>
      <c r="O13" s="12">
        <v>17033</v>
      </c>
      <c r="P13" t="s">
        <v>163</v>
      </c>
      <c r="Q13" s="2" t="s">
        <v>74</v>
      </c>
      <c r="R13" t="s">
        <v>66</v>
      </c>
      <c r="S13">
        <v>124328.24</v>
      </c>
      <c r="T13" s="11">
        <v>11749.02</v>
      </c>
      <c r="U13" s="49" t="s">
        <v>75</v>
      </c>
      <c r="V13" s="47" t="s">
        <v>164</v>
      </c>
      <c r="W13" s="46">
        <v>124328.24</v>
      </c>
      <c r="X13" t="s">
        <v>67</v>
      </c>
      <c r="Y13" s="2" t="s">
        <v>165</v>
      </c>
      <c r="Z13" s="41">
        <v>45967</v>
      </c>
      <c r="AA13" t="s">
        <v>166</v>
      </c>
      <c r="AB13" t="s">
        <v>162</v>
      </c>
      <c r="AC13" t="s">
        <v>167</v>
      </c>
      <c r="AD13" s="10" t="s">
        <v>67</v>
      </c>
      <c r="AE13" s="2" t="s">
        <v>68</v>
      </c>
      <c r="AF13" s="12" t="s">
        <v>68</v>
      </c>
      <c r="AG13" s="2" t="s">
        <v>68</v>
      </c>
      <c r="AH13"/>
      <c r="AI13">
        <v>11749.02</v>
      </c>
      <c r="AJ13"/>
      <c r="AK13"/>
      <c r="AL13"/>
      <c r="AM13" t="b">
        <v>0</v>
      </c>
      <c r="AN13" t="s">
        <v>29</v>
      </c>
      <c r="AO13" s="12">
        <v>6190</v>
      </c>
      <c r="AP13" t="s">
        <v>69</v>
      </c>
      <c r="AQ13" t="b">
        <v>1</v>
      </c>
      <c r="AR13" s="1" t="s">
        <v>186</v>
      </c>
      <c r="AS13" t="b">
        <v>1</v>
      </c>
      <c r="AT13">
        <v>21</v>
      </c>
      <c r="AU13" s="50" t="str">
        <f t="array" ref="AU13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3" s="42" t="str">
        <f>IFERROR((CONCATENATE((MONTH(BaseRelatórioGeral[[#This Row],[Mês Pgto Fornecedor]])),"-",(YEAR(BaseRelatórioGeral[[#This Row],[Data OB Pgto Fornecedor]])))),"")</f>
        <v>11-2025</v>
      </c>
      <c r="AW13" s="42">
        <f>BaseRelatórioGeral[[#This Row],[IR]]+BaseRelatórioGeral[[#This Row],[AGREGADO]]+BaseRelatórioGeral[[#This Row],[CSLL]]+BaseRelatórioGeral[[#This Row],[PIS/PASEP]]+BaseRelatórioGeral[[#This Row],[COFINS]]</f>
        <v>11749.02</v>
      </c>
      <c r="AX13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3" s="42" t="str">
        <f>BaseRelatórioGeral[[#This Row],[UG Pagadora]]</f>
        <v>302122</v>
      </c>
      <c r="AZ13" s="42" t="b">
        <f>BaseRelatórioGeral[[#This Row],[Recolhedor Darf]]=BaseRelatórioGeral[[#This Row],[Credor]]</f>
        <v>1</v>
      </c>
      <c r="BA13" s="25" t="str">
        <f>IF(BaseRelatórioGeral[[#This Row],[Conferência de Alíquota]]="AmparadaporMedidaJudicial","OK","Correto")</f>
        <v>Correto</v>
      </c>
      <c r="BB13" s="25" t="str">
        <f>IF(BaseRelatórioGeral[[#This Row],[Conferência de Alíquota]]="AmparadaporMedidaJudicial","AmparadaporMedidaJudicial","Ok")</f>
        <v>Ok</v>
      </c>
    </row>
    <row r="14" spans="2:54" x14ac:dyDescent="0.3">
      <c r="E14" t="s">
        <v>119</v>
      </c>
      <c r="F14" t="s">
        <v>63</v>
      </c>
      <c r="G14" s="2" t="s">
        <v>64</v>
      </c>
      <c r="H14" s="2" t="s">
        <v>64</v>
      </c>
      <c r="I14" s="12" t="s">
        <v>71</v>
      </c>
      <c r="J14" s="12" t="s">
        <v>71</v>
      </c>
      <c r="K14" s="2" t="s">
        <v>65</v>
      </c>
      <c r="L14" s="2" t="s">
        <v>110</v>
      </c>
      <c r="M14" s="40">
        <v>45973</v>
      </c>
      <c r="N14" s="2" t="s">
        <v>57</v>
      </c>
      <c r="O14" s="12">
        <v>17099</v>
      </c>
      <c r="P14" t="s">
        <v>73</v>
      </c>
      <c r="Q14" s="2" t="s">
        <v>74</v>
      </c>
      <c r="R14" t="s">
        <v>66</v>
      </c>
      <c r="S14">
        <v>17536.62</v>
      </c>
      <c r="T14" s="11">
        <v>1657.21</v>
      </c>
      <c r="U14" s="49" t="s">
        <v>75</v>
      </c>
      <c r="V14" s="47" t="s">
        <v>120</v>
      </c>
      <c r="W14" s="46">
        <v>17536.62</v>
      </c>
      <c r="X14" t="s">
        <v>67</v>
      </c>
      <c r="Y14" s="2" t="s">
        <v>121</v>
      </c>
      <c r="Z14" s="41">
        <v>45973</v>
      </c>
      <c r="AA14" t="s">
        <v>122</v>
      </c>
      <c r="AB14" t="s">
        <v>110</v>
      </c>
      <c r="AC14" t="s">
        <v>114</v>
      </c>
      <c r="AD14" s="10" t="s">
        <v>67</v>
      </c>
      <c r="AE14" s="2" t="s">
        <v>68</v>
      </c>
      <c r="AF14" s="12" t="s">
        <v>68</v>
      </c>
      <c r="AG14" s="2" t="s">
        <v>68</v>
      </c>
      <c r="AH14"/>
      <c r="AI14">
        <v>1657.21</v>
      </c>
      <c r="AJ14"/>
      <c r="AK14"/>
      <c r="AL14"/>
      <c r="AM14" t="b">
        <v>0</v>
      </c>
      <c r="AN14" t="s">
        <v>29</v>
      </c>
      <c r="AO14" s="12">
        <v>6190</v>
      </c>
      <c r="AP14" t="s">
        <v>83</v>
      </c>
      <c r="AQ14" t="b">
        <v>1</v>
      </c>
      <c r="AR14" s="1" t="s">
        <v>186</v>
      </c>
      <c r="AS14" t="b">
        <v>1</v>
      </c>
      <c r="AT14">
        <v>19</v>
      </c>
      <c r="AU14" s="50" t="str">
        <f t="array" ref="AU14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4" s="42" t="str">
        <f>IFERROR((CONCATENATE((MONTH(BaseRelatórioGeral[[#This Row],[Mês Pgto Fornecedor]])),"-",(YEAR(BaseRelatórioGeral[[#This Row],[Data OB Pgto Fornecedor]])))),"")</f>
        <v>11-2025</v>
      </c>
      <c r="AW14" s="42">
        <f>BaseRelatórioGeral[[#This Row],[IR]]+BaseRelatórioGeral[[#This Row],[AGREGADO]]+BaseRelatórioGeral[[#This Row],[CSLL]]+BaseRelatórioGeral[[#This Row],[PIS/PASEP]]+BaseRelatórioGeral[[#This Row],[COFINS]]</f>
        <v>1657.21</v>
      </c>
      <c r="AX14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4" s="42" t="str">
        <f>BaseRelatórioGeral[[#This Row],[UG Pagadora]]</f>
        <v>302122</v>
      </c>
      <c r="AZ14" s="42" t="b">
        <f>BaseRelatórioGeral[[#This Row],[Recolhedor Darf]]=BaseRelatórioGeral[[#This Row],[Credor]]</f>
        <v>1</v>
      </c>
      <c r="BA14" s="25" t="str">
        <f>IF(BaseRelatórioGeral[[#This Row],[Conferência de Alíquota]]="AmparadaporMedidaJudicial","OK","Correto")</f>
        <v>Correto</v>
      </c>
      <c r="BB14" s="25" t="str">
        <f>IF(BaseRelatórioGeral[[#This Row],[Conferência de Alíquota]]="AmparadaporMedidaJudicial","AmparadaporMedidaJudicial","Ok")</f>
        <v>Ok</v>
      </c>
    </row>
    <row r="15" spans="2:54" x14ac:dyDescent="0.3">
      <c r="E15" t="s">
        <v>109</v>
      </c>
      <c r="F15" t="s">
        <v>63</v>
      </c>
      <c r="G15" s="2" t="s">
        <v>64</v>
      </c>
      <c r="H15" s="2" t="s">
        <v>64</v>
      </c>
      <c r="I15" s="12" t="s">
        <v>71</v>
      </c>
      <c r="J15" s="12" t="s">
        <v>71</v>
      </c>
      <c r="K15" s="2" t="s">
        <v>65</v>
      </c>
      <c r="L15" s="61">
        <v>65414476000114</v>
      </c>
      <c r="M15" s="40">
        <v>45973</v>
      </c>
      <c r="N15" s="2" t="s">
        <v>57</v>
      </c>
      <c r="O15" s="12">
        <v>17099</v>
      </c>
      <c r="P15" t="s">
        <v>73</v>
      </c>
      <c r="Q15" s="2" t="s">
        <v>74</v>
      </c>
      <c r="R15" t="s">
        <v>66</v>
      </c>
      <c r="S15">
        <v>36238.300000000003</v>
      </c>
      <c r="T15" s="11">
        <v>3424.52</v>
      </c>
      <c r="U15" s="49" t="s">
        <v>75</v>
      </c>
      <c r="V15" s="47" t="s">
        <v>111</v>
      </c>
      <c r="W15" s="46">
        <v>36238.300000000003</v>
      </c>
      <c r="X15" t="s">
        <v>67</v>
      </c>
      <c r="Y15" s="2" t="s">
        <v>112</v>
      </c>
      <c r="Z15" s="41">
        <v>45973</v>
      </c>
      <c r="AA15" t="s">
        <v>113</v>
      </c>
      <c r="AB15" s="57">
        <v>65414476000114</v>
      </c>
      <c r="AC15" t="s">
        <v>199</v>
      </c>
      <c r="AD15" s="10" t="s">
        <v>67</v>
      </c>
      <c r="AE15" s="2" t="s">
        <v>68</v>
      </c>
      <c r="AF15" s="12" t="s">
        <v>68</v>
      </c>
      <c r="AG15" s="2" t="s">
        <v>68</v>
      </c>
      <c r="AH15"/>
      <c r="AI15">
        <v>3424.52</v>
      </c>
      <c r="AJ15"/>
      <c r="AK15"/>
      <c r="AL15"/>
      <c r="AM15" t="b">
        <v>0</v>
      </c>
      <c r="AN15" t="s">
        <v>29</v>
      </c>
      <c r="AO15" s="12">
        <v>6190</v>
      </c>
      <c r="AP15" t="s">
        <v>83</v>
      </c>
      <c r="AQ15" t="b">
        <v>1</v>
      </c>
      <c r="AR15" s="1" t="s">
        <v>186</v>
      </c>
      <c r="AS15" t="b">
        <v>1</v>
      </c>
      <c r="AT15">
        <v>16</v>
      </c>
      <c r="AU15" s="50" t="str">
        <f t="array" ref="AU15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5" s="42" t="str">
        <f>IFERROR((CONCATENATE((MONTH(BaseRelatórioGeral[[#This Row],[Mês Pgto Fornecedor]])),"-",(YEAR(BaseRelatórioGeral[[#This Row],[Data OB Pgto Fornecedor]])))),"")</f>
        <v>11-2025</v>
      </c>
      <c r="AW15" s="42">
        <f>BaseRelatórioGeral[[#This Row],[IR]]+BaseRelatórioGeral[[#This Row],[AGREGADO]]+BaseRelatórioGeral[[#This Row],[CSLL]]+BaseRelatórioGeral[[#This Row],[PIS/PASEP]]+BaseRelatórioGeral[[#This Row],[COFINS]]</f>
        <v>3424.52</v>
      </c>
      <c r="AX15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5" s="42" t="str">
        <f>BaseRelatórioGeral[[#This Row],[UG Pagadora]]</f>
        <v>302122</v>
      </c>
      <c r="AZ15" s="42" t="b">
        <f>BaseRelatórioGeral[[#This Row],[Recolhedor Darf]]=BaseRelatórioGeral[[#This Row],[Credor]]</f>
        <v>1</v>
      </c>
      <c r="BA15" s="25" t="str">
        <f>IF(BaseRelatórioGeral[[#This Row],[Conferência de Alíquota]]="AmparadaporMedidaJudicial","OK","Correto")</f>
        <v>Correto</v>
      </c>
      <c r="BB15" s="25" t="str">
        <f>IF(BaseRelatórioGeral[[#This Row],[Conferência de Alíquota]]="AmparadaporMedidaJudicial","AmparadaporMedidaJudicial","Ok")</f>
        <v>Ok</v>
      </c>
    </row>
    <row r="16" spans="2:54" x14ac:dyDescent="0.3">
      <c r="E16" t="s">
        <v>123</v>
      </c>
      <c r="F16" t="s">
        <v>63</v>
      </c>
      <c r="G16" s="2" t="s">
        <v>64</v>
      </c>
      <c r="H16" s="2" t="s">
        <v>64</v>
      </c>
      <c r="I16" s="12" t="s">
        <v>71</v>
      </c>
      <c r="J16" s="12" t="s">
        <v>71</v>
      </c>
      <c r="K16" s="2" t="s">
        <v>65</v>
      </c>
      <c r="L16" s="2" t="s">
        <v>124</v>
      </c>
      <c r="M16" s="40">
        <v>45973</v>
      </c>
      <c r="N16" s="2" t="s">
        <v>58</v>
      </c>
      <c r="O16" s="12">
        <v>17002</v>
      </c>
      <c r="P16" t="s">
        <v>73</v>
      </c>
      <c r="Q16" s="2" t="s">
        <v>74</v>
      </c>
      <c r="R16" t="s">
        <v>66</v>
      </c>
      <c r="S16">
        <v>13597.95</v>
      </c>
      <c r="T16" s="11">
        <v>795.48</v>
      </c>
      <c r="U16" s="49" t="s">
        <v>75</v>
      </c>
      <c r="V16" s="47" t="s">
        <v>125</v>
      </c>
      <c r="W16" s="46">
        <v>15063.43</v>
      </c>
      <c r="X16" t="s">
        <v>126</v>
      </c>
      <c r="Y16" s="2" t="s">
        <v>127</v>
      </c>
      <c r="Z16" s="41">
        <v>45974</v>
      </c>
      <c r="AA16" t="s">
        <v>128</v>
      </c>
      <c r="AB16" t="s">
        <v>124</v>
      </c>
      <c r="AC16" t="s">
        <v>129</v>
      </c>
      <c r="AD16" s="10" t="s">
        <v>126</v>
      </c>
      <c r="AE16" s="2" t="s">
        <v>68</v>
      </c>
      <c r="AF16" s="12" t="s">
        <v>68</v>
      </c>
      <c r="AG16" s="2" t="s">
        <v>68</v>
      </c>
      <c r="AH16"/>
      <c r="AI16">
        <v>795.48</v>
      </c>
      <c r="AJ16"/>
      <c r="AK16"/>
      <c r="AL16"/>
      <c r="AM16" t="b">
        <v>0</v>
      </c>
      <c r="AN16" t="s">
        <v>29</v>
      </c>
      <c r="AO16" s="12">
        <v>6147</v>
      </c>
      <c r="AP16" t="s">
        <v>130</v>
      </c>
      <c r="AQ16" t="b">
        <v>1</v>
      </c>
      <c r="AR16" s="1" t="s">
        <v>186</v>
      </c>
      <c r="AS16" t="b">
        <v>1</v>
      </c>
      <c r="AT16">
        <v>20</v>
      </c>
      <c r="AU16" s="50" t="str">
        <f t="array" ref="AU16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6" s="42" t="str">
        <f>IFERROR((CONCATENATE((MONTH(BaseRelatórioGeral[[#This Row],[Mês Pgto Fornecedor]])),"-",(YEAR(BaseRelatórioGeral[[#This Row],[Data OB Pgto Fornecedor]])))),"")</f>
        <v>11-2025</v>
      </c>
      <c r="AW16" s="42">
        <f>BaseRelatórioGeral[[#This Row],[IR]]+BaseRelatórioGeral[[#This Row],[AGREGADO]]+BaseRelatórioGeral[[#This Row],[CSLL]]+BaseRelatórioGeral[[#This Row],[PIS/PASEP]]+BaseRelatórioGeral[[#This Row],[COFINS]]</f>
        <v>795.48</v>
      </c>
      <c r="AX16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6" s="42" t="str">
        <f>BaseRelatórioGeral[[#This Row],[UG Pagadora]]</f>
        <v>302122</v>
      </c>
      <c r="AZ16" s="42" t="b">
        <f>BaseRelatórioGeral[[#This Row],[Recolhedor Darf]]=BaseRelatórioGeral[[#This Row],[Credor]]</f>
        <v>1</v>
      </c>
      <c r="BA16" s="25" t="str">
        <f>IF(BaseRelatórioGeral[[#This Row],[Conferência de Alíquota]]="AmparadaporMedidaJudicial","OK","Correto")</f>
        <v>Correto</v>
      </c>
      <c r="BB16" s="25" t="str">
        <f>IF(BaseRelatórioGeral[[#This Row],[Conferência de Alíquota]]="AmparadaporMedidaJudicial","AmparadaporMedidaJudicial","Ok")</f>
        <v>Ok</v>
      </c>
    </row>
    <row r="17" spans="5:54" ht="13.95" customHeight="1" x14ac:dyDescent="0.3">
      <c r="E17" t="s">
        <v>70</v>
      </c>
      <c r="F17" t="s">
        <v>63</v>
      </c>
      <c r="G17" s="2" t="s">
        <v>64</v>
      </c>
      <c r="H17" s="2" t="s">
        <v>64</v>
      </c>
      <c r="I17" s="12" t="s">
        <v>71</v>
      </c>
      <c r="J17" s="12" t="s">
        <v>71</v>
      </c>
      <c r="K17" s="2" t="s">
        <v>65</v>
      </c>
      <c r="L17" s="2" t="s">
        <v>72</v>
      </c>
      <c r="M17" s="40">
        <v>45974</v>
      </c>
      <c r="N17" s="2" t="s">
        <v>57</v>
      </c>
      <c r="O17" s="12">
        <v>17029</v>
      </c>
      <c r="P17" t="s">
        <v>73</v>
      </c>
      <c r="Q17" s="2" t="s">
        <v>74</v>
      </c>
      <c r="R17" t="s">
        <v>66</v>
      </c>
      <c r="S17">
        <v>3183.15</v>
      </c>
      <c r="T17" s="11">
        <v>300.81</v>
      </c>
      <c r="U17" s="49" t="s">
        <v>75</v>
      </c>
      <c r="V17" s="47" t="s">
        <v>76</v>
      </c>
      <c r="W17" s="46">
        <v>3183.15</v>
      </c>
      <c r="X17" t="s">
        <v>67</v>
      </c>
      <c r="Y17" s="2" t="s">
        <v>77</v>
      </c>
      <c r="Z17" s="41">
        <v>45978</v>
      </c>
      <c r="AA17" t="s">
        <v>78</v>
      </c>
      <c r="AB17" t="s">
        <v>72</v>
      </c>
      <c r="AC17" t="s">
        <v>79</v>
      </c>
      <c r="AD17" s="10" t="s">
        <v>67</v>
      </c>
      <c r="AE17" s="2" t="s">
        <v>68</v>
      </c>
      <c r="AF17" s="12" t="s">
        <v>68</v>
      </c>
      <c r="AG17" s="2" t="s">
        <v>68</v>
      </c>
      <c r="AH17"/>
      <c r="AI17">
        <v>300.81</v>
      </c>
      <c r="AJ17"/>
      <c r="AK17"/>
      <c r="AL17"/>
      <c r="AM17" t="b">
        <v>0</v>
      </c>
      <c r="AN17" t="s">
        <v>29</v>
      </c>
      <c r="AO17" s="12">
        <v>6190</v>
      </c>
      <c r="AP17" t="s">
        <v>80</v>
      </c>
      <c r="AQ17" t="b">
        <v>1</v>
      </c>
      <c r="AR17" s="1" t="s">
        <v>186</v>
      </c>
      <c r="AS17" t="b">
        <v>1</v>
      </c>
      <c r="AT17">
        <v>7</v>
      </c>
      <c r="AU17" s="50" t="str">
        <f t="array" ref="AU17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7" s="42" t="str">
        <f>IFERROR((CONCATENATE((MONTH(BaseRelatórioGeral[[#This Row],[Mês Pgto Fornecedor]])),"-",(YEAR(BaseRelatórioGeral[[#This Row],[Data OB Pgto Fornecedor]])))),"")</f>
        <v>11-2025</v>
      </c>
      <c r="AW17" s="42">
        <f>BaseRelatórioGeral[[#This Row],[IR]]+BaseRelatórioGeral[[#This Row],[AGREGADO]]+BaseRelatórioGeral[[#This Row],[CSLL]]+BaseRelatórioGeral[[#This Row],[PIS/PASEP]]+BaseRelatórioGeral[[#This Row],[COFINS]]</f>
        <v>300.81</v>
      </c>
      <c r="AX17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7" s="42" t="str">
        <f>BaseRelatórioGeral[[#This Row],[UG Pagadora]]</f>
        <v>302122</v>
      </c>
      <c r="AZ17" s="42" t="b">
        <f>BaseRelatórioGeral[[#This Row],[Recolhedor Darf]]=BaseRelatórioGeral[[#This Row],[Credor]]</f>
        <v>1</v>
      </c>
      <c r="BA17" s="25" t="str">
        <f>IF(BaseRelatórioGeral[[#This Row],[Conferência de Alíquota]]="AmparadaporMedidaJudicial","OK","Correto")</f>
        <v>Correto</v>
      </c>
      <c r="BB17" s="25" t="str">
        <f>IF(BaseRelatórioGeral[[#This Row],[Conferência de Alíquota]]="AmparadaporMedidaJudicial","AmparadaporMedidaJudicial","Ok")</f>
        <v>Ok</v>
      </c>
    </row>
    <row r="18" spans="5:54" x14ac:dyDescent="0.3">
      <c r="E18" t="s">
        <v>176</v>
      </c>
      <c r="F18" t="s">
        <v>63</v>
      </c>
      <c r="G18" s="2" t="s">
        <v>64</v>
      </c>
      <c r="H18" s="2" t="s">
        <v>64</v>
      </c>
      <c r="I18" s="12" t="s">
        <v>71</v>
      </c>
      <c r="J18" s="12" t="s">
        <v>71</v>
      </c>
      <c r="K18" s="2" t="s">
        <v>65</v>
      </c>
      <c r="L18" s="61">
        <v>23734075000100</v>
      </c>
      <c r="M18" s="40">
        <v>45978</v>
      </c>
      <c r="N18" s="2" t="s">
        <v>57</v>
      </c>
      <c r="O18" s="12">
        <v>17033</v>
      </c>
      <c r="P18" t="s">
        <v>73</v>
      </c>
      <c r="Q18" s="2" t="s">
        <v>74</v>
      </c>
      <c r="R18"/>
      <c r="S18">
        <v>26853.67</v>
      </c>
      <c r="T18" s="11">
        <v>2537.6799999999998</v>
      </c>
      <c r="U18" s="49"/>
      <c r="V18" s="47" t="s">
        <v>177</v>
      </c>
      <c r="W18" s="46">
        <v>26853.67</v>
      </c>
      <c r="X18" t="s">
        <v>67</v>
      </c>
      <c r="Y18" s="2" t="s">
        <v>178</v>
      </c>
      <c r="Z18" s="41">
        <v>45979</v>
      </c>
      <c r="AA18" t="s">
        <v>179</v>
      </c>
      <c r="AB18" s="57">
        <v>23734075000100</v>
      </c>
      <c r="AC18" t="s">
        <v>200</v>
      </c>
      <c r="AD18" s="10" t="s">
        <v>67</v>
      </c>
      <c r="AE18" s="2" t="s">
        <v>68</v>
      </c>
      <c r="AF18" s="12" t="s">
        <v>68</v>
      </c>
      <c r="AG18" s="2" t="s">
        <v>68</v>
      </c>
      <c r="AH18"/>
      <c r="AI18">
        <v>2537.6799999999998</v>
      </c>
      <c r="AJ18"/>
      <c r="AK18"/>
      <c r="AL18"/>
      <c r="AM18" t="b">
        <v>0</v>
      </c>
      <c r="AN18" t="s">
        <v>29</v>
      </c>
      <c r="AO18" s="12">
        <v>6190</v>
      </c>
      <c r="AP18" t="s">
        <v>69</v>
      </c>
      <c r="AQ18" t="b">
        <v>1</v>
      </c>
      <c r="AR18" s="1" t="s">
        <v>186</v>
      </c>
      <c r="AS18" t="b">
        <v>1</v>
      </c>
      <c r="AT18">
        <v>33</v>
      </c>
      <c r="AU18" s="50" t="str">
        <f t="array" ref="AU18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8" s="42" t="str">
        <f>IFERROR((CONCATENATE((MONTH(BaseRelatórioGeral[[#This Row],[Mês Pgto Fornecedor]])),"-",(YEAR(BaseRelatórioGeral[[#This Row],[Data OB Pgto Fornecedor]])))),"")</f>
        <v>11-2025</v>
      </c>
      <c r="AW18" s="42">
        <f>BaseRelatórioGeral[[#This Row],[IR]]+BaseRelatórioGeral[[#This Row],[AGREGADO]]+BaseRelatórioGeral[[#This Row],[CSLL]]+BaseRelatórioGeral[[#This Row],[PIS/PASEP]]+BaseRelatórioGeral[[#This Row],[COFINS]]</f>
        <v>2537.6799999999998</v>
      </c>
      <c r="AX18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8" s="42" t="str">
        <f>BaseRelatórioGeral[[#This Row],[UG Pagadora]]</f>
        <v>302122</v>
      </c>
      <c r="AZ18" s="42" t="b">
        <f>BaseRelatórioGeral[[#This Row],[Recolhedor Darf]]=BaseRelatórioGeral[[#This Row],[Credor]]</f>
        <v>1</v>
      </c>
      <c r="BA18" s="25" t="str">
        <f>IF(BaseRelatórioGeral[[#This Row],[Conferência de Alíquota]]="AmparadaporMedidaJudicial","OK","Correto")</f>
        <v>Correto</v>
      </c>
      <c r="BB18" s="25" t="str">
        <f>IF(BaseRelatórioGeral[[#This Row],[Conferência de Alíquota]]="AmparadaporMedidaJudicial","AmparadaporMedidaJudicial","Ok")</f>
        <v>Ok</v>
      </c>
    </row>
    <row r="19" spans="5:54" x14ac:dyDescent="0.3">
      <c r="E19" t="s">
        <v>104</v>
      </c>
      <c r="F19" t="s">
        <v>63</v>
      </c>
      <c r="G19" s="2" t="s">
        <v>64</v>
      </c>
      <c r="H19" s="2" t="s">
        <v>64</v>
      </c>
      <c r="I19" s="12" t="s">
        <v>71</v>
      </c>
      <c r="J19" s="12" t="s">
        <v>71</v>
      </c>
      <c r="K19" s="2" t="s">
        <v>65</v>
      </c>
      <c r="L19" s="2" t="s">
        <v>105</v>
      </c>
      <c r="M19" s="40">
        <v>45978</v>
      </c>
      <c r="N19" s="2" t="s">
        <v>60</v>
      </c>
      <c r="O19" s="12">
        <v>17026</v>
      </c>
      <c r="P19" t="s">
        <v>73</v>
      </c>
      <c r="Q19" s="2" t="s">
        <v>74</v>
      </c>
      <c r="R19" t="s">
        <v>66</v>
      </c>
      <c r="S19">
        <v>3347.1</v>
      </c>
      <c r="T19" s="11">
        <v>235.97</v>
      </c>
      <c r="U19" s="49" t="s">
        <v>75</v>
      </c>
      <c r="V19" s="47" t="s">
        <v>106</v>
      </c>
      <c r="W19" s="46">
        <v>3347.1</v>
      </c>
      <c r="X19" t="s">
        <v>100</v>
      </c>
      <c r="Y19" s="2" t="s">
        <v>107</v>
      </c>
      <c r="Z19" s="41">
        <v>45979</v>
      </c>
      <c r="AA19" t="s">
        <v>87</v>
      </c>
      <c r="AB19" s="59" t="s">
        <v>88</v>
      </c>
      <c r="AC19" t="s">
        <v>89</v>
      </c>
      <c r="AD19" s="10" t="s">
        <v>100</v>
      </c>
      <c r="AE19" s="2" t="s">
        <v>68</v>
      </c>
      <c r="AF19" s="12" t="s">
        <v>68</v>
      </c>
      <c r="AG19" s="2" t="s">
        <v>68</v>
      </c>
      <c r="AH19"/>
      <c r="AI19">
        <v>235.97</v>
      </c>
      <c r="AJ19"/>
      <c r="AK19"/>
      <c r="AL19"/>
      <c r="AM19" t="b">
        <v>0</v>
      </c>
      <c r="AN19" t="s">
        <v>29</v>
      </c>
      <c r="AO19" s="12">
        <v>6188</v>
      </c>
      <c r="AP19" t="s">
        <v>108</v>
      </c>
      <c r="AQ19" t="b">
        <v>1</v>
      </c>
      <c r="AR19" s="1" t="s">
        <v>186</v>
      </c>
      <c r="AS19" t="b">
        <v>1</v>
      </c>
      <c r="AT19">
        <v>15</v>
      </c>
      <c r="AU19" s="50" t="str">
        <f t="array" ref="AU19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19" s="42" t="str">
        <f>IFERROR((CONCATENATE((MONTH(BaseRelatórioGeral[[#This Row],[Mês Pgto Fornecedor]])),"-",(YEAR(BaseRelatórioGeral[[#This Row],[Data OB Pgto Fornecedor]])))),"")</f>
        <v>11-2025</v>
      </c>
      <c r="AW19" s="42">
        <f>BaseRelatórioGeral[[#This Row],[IR]]+BaseRelatórioGeral[[#This Row],[AGREGADO]]+BaseRelatórioGeral[[#This Row],[CSLL]]+BaseRelatórioGeral[[#This Row],[PIS/PASEP]]+BaseRelatórioGeral[[#This Row],[COFINS]]</f>
        <v>235.97</v>
      </c>
      <c r="AX19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19" s="42" t="str">
        <f>BaseRelatórioGeral[[#This Row],[UG Pagadora]]</f>
        <v>302122</v>
      </c>
      <c r="AZ19" s="42" t="b">
        <f>BaseRelatórioGeral[[#This Row],[Recolhedor Darf]]=BaseRelatórioGeral[[#This Row],[Credor]]</f>
        <v>0</v>
      </c>
      <c r="BA19" s="25" t="str">
        <f>IF(BaseRelatórioGeral[[#This Row],[Conferência de Alíquota]]="AmparadaporMedidaJudicial","OK","Correto")</f>
        <v>Correto</v>
      </c>
      <c r="BB19" s="25" t="str">
        <f>IF(BaseRelatórioGeral[[#This Row],[Conferência de Alíquota]]="AmparadaporMedidaJudicial","AmparadaporMedidaJudicial","Ok")</f>
        <v>Ok</v>
      </c>
    </row>
    <row r="20" spans="5:54" x14ac:dyDescent="0.3">
      <c r="E20" t="s">
        <v>96</v>
      </c>
      <c r="F20" t="s">
        <v>63</v>
      </c>
      <c r="G20" s="2" t="s">
        <v>64</v>
      </c>
      <c r="H20" s="2" t="s">
        <v>64</v>
      </c>
      <c r="I20" s="12" t="s">
        <v>71</v>
      </c>
      <c r="J20" s="12" t="s">
        <v>71</v>
      </c>
      <c r="K20" s="2" t="s">
        <v>65</v>
      </c>
      <c r="L20" s="62">
        <v>27996382000101</v>
      </c>
      <c r="M20" s="40">
        <v>45978</v>
      </c>
      <c r="N20" s="2" t="s">
        <v>59</v>
      </c>
      <c r="O20" s="12">
        <v>17023</v>
      </c>
      <c r="P20" t="s">
        <v>73</v>
      </c>
      <c r="Q20" s="2" t="s">
        <v>74</v>
      </c>
      <c r="R20" t="s">
        <v>66</v>
      </c>
      <c r="S20">
        <v>34.11</v>
      </c>
      <c r="T20" s="11">
        <v>2.4</v>
      </c>
      <c r="U20" s="49" t="s">
        <v>75</v>
      </c>
      <c r="V20" s="47" t="s">
        <v>97</v>
      </c>
      <c r="W20" s="46">
        <v>41756.61</v>
      </c>
      <c r="X20" t="s">
        <v>98</v>
      </c>
      <c r="Y20" s="2" t="s">
        <v>99</v>
      </c>
      <c r="Z20" s="41">
        <v>45979</v>
      </c>
      <c r="AA20" t="s">
        <v>87</v>
      </c>
      <c r="AB20" s="60">
        <v>27996382000101</v>
      </c>
      <c r="AC20" t="s">
        <v>201</v>
      </c>
      <c r="AD20" s="10" t="s">
        <v>100</v>
      </c>
      <c r="AE20" s="2" t="s">
        <v>68</v>
      </c>
      <c r="AF20" s="12" t="s">
        <v>68</v>
      </c>
      <c r="AG20" s="2" t="s">
        <v>68</v>
      </c>
      <c r="AH20"/>
      <c r="AI20">
        <v>2.4</v>
      </c>
      <c r="AJ20"/>
      <c r="AK20"/>
      <c r="AL20"/>
      <c r="AM20" t="b">
        <v>0</v>
      </c>
      <c r="AN20" t="s">
        <v>29</v>
      </c>
      <c r="AO20" s="12">
        <v>6175</v>
      </c>
      <c r="AP20" t="s">
        <v>91</v>
      </c>
      <c r="AQ20" t="b">
        <v>1</v>
      </c>
      <c r="AR20" s="1" t="s">
        <v>186</v>
      </c>
      <c r="AS20" t="b">
        <v>0</v>
      </c>
      <c r="AT20">
        <v>8</v>
      </c>
      <c r="AU20" s="50" t="str">
        <f t="array" ref="AU20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0" s="42" t="str">
        <f>IFERROR((CONCATENATE((MONTH(BaseRelatórioGeral[[#This Row],[Mês Pgto Fornecedor]])),"-",(YEAR(BaseRelatórioGeral[[#This Row],[Data OB Pgto Fornecedor]])))),"")</f>
        <v>11-2025</v>
      </c>
      <c r="AW20" s="42">
        <f>BaseRelatórioGeral[[#This Row],[IR]]+BaseRelatórioGeral[[#This Row],[AGREGADO]]+BaseRelatórioGeral[[#This Row],[CSLL]]+BaseRelatórioGeral[[#This Row],[PIS/PASEP]]+BaseRelatórioGeral[[#This Row],[COFINS]]</f>
        <v>2.4</v>
      </c>
      <c r="AX20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20" s="42" t="str">
        <f>BaseRelatórioGeral[[#This Row],[UG Pagadora]]</f>
        <v>302122</v>
      </c>
      <c r="AZ20" s="42" t="b">
        <f>BaseRelatórioGeral[[#This Row],[Recolhedor Darf]]=BaseRelatórioGeral[[#This Row],[Credor]]</f>
        <v>1</v>
      </c>
      <c r="BA20" s="25" t="str">
        <f>IF(BaseRelatórioGeral[[#This Row],[Conferência de Alíquota]]="AmparadaporMedidaJudicial","OK","Correto")</f>
        <v>Correto</v>
      </c>
      <c r="BB20" s="25" t="str">
        <f>IF(BaseRelatórioGeral[[#This Row],[Conferência de Alíquota]]="AmparadaporMedidaJudicial","AmparadaporMedidaJudicial","Ok")</f>
        <v>Ok</v>
      </c>
    </row>
    <row r="21" spans="5:54" x14ac:dyDescent="0.3">
      <c r="E21" t="s">
        <v>96</v>
      </c>
      <c r="F21" t="s">
        <v>63</v>
      </c>
      <c r="G21" s="2" t="s">
        <v>64</v>
      </c>
      <c r="H21" s="2" t="s">
        <v>64</v>
      </c>
      <c r="I21" s="12" t="s">
        <v>71</v>
      </c>
      <c r="J21" s="12" t="s">
        <v>71</v>
      </c>
      <c r="K21" s="2" t="s">
        <v>65</v>
      </c>
      <c r="L21" s="61">
        <v>8220952000122</v>
      </c>
      <c r="M21" s="40">
        <v>45978</v>
      </c>
      <c r="N21" s="2" t="s">
        <v>59</v>
      </c>
      <c r="O21" s="12">
        <v>17023</v>
      </c>
      <c r="P21" t="s">
        <v>73</v>
      </c>
      <c r="Q21" s="2" t="s">
        <v>74</v>
      </c>
      <c r="R21" t="s">
        <v>66</v>
      </c>
      <c r="S21">
        <v>83.04</v>
      </c>
      <c r="T21" s="11">
        <v>5.85</v>
      </c>
      <c r="U21" s="49" t="s">
        <v>75</v>
      </c>
      <c r="V21" s="47" t="s">
        <v>97</v>
      </c>
      <c r="W21" s="46">
        <v>41756.61</v>
      </c>
      <c r="X21" t="s">
        <v>98</v>
      </c>
      <c r="Y21" s="2" t="s">
        <v>99</v>
      </c>
      <c r="Z21" s="41">
        <v>45979</v>
      </c>
      <c r="AA21" t="s">
        <v>87</v>
      </c>
      <c r="AB21" s="57">
        <v>8220952000122</v>
      </c>
      <c r="AC21" t="s">
        <v>203</v>
      </c>
      <c r="AD21" s="10" t="s">
        <v>100</v>
      </c>
      <c r="AE21" s="2" t="s">
        <v>68</v>
      </c>
      <c r="AF21" s="12" t="s">
        <v>68</v>
      </c>
      <c r="AG21" s="2" t="s">
        <v>68</v>
      </c>
      <c r="AH21"/>
      <c r="AI21">
        <v>5.85</v>
      </c>
      <c r="AJ21"/>
      <c r="AK21"/>
      <c r="AL21"/>
      <c r="AM21" t="b">
        <v>0</v>
      </c>
      <c r="AN21" t="s">
        <v>29</v>
      </c>
      <c r="AO21" s="12">
        <v>6175</v>
      </c>
      <c r="AP21" t="s">
        <v>91</v>
      </c>
      <c r="AQ21" t="b">
        <v>1</v>
      </c>
      <c r="AR21" s="1" t="s">
        <v>186</v>
      </c>
      <c r="AS21" t="b">
        <v>0</v>
      </c>
      <c r="AT21">
        <v>9</v>
      </c>
      <c r="AU21" s="50" t="str">
        <f t="array" ref="AU21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1" s="42" t="str">
        <f>IFERROR((CONCATENATE((MONTH(BaseRelatórioGeral[[#This Row],[Mês Pgto Fornecedor]])),"-",(YEAR(BaseRelatórioGeral[[#This Row],[Data OB Pgto Fornecedor]])))),"")</f>
        <v>11-2025</v>
      </c>
      <c r="AW21" s="42">
        <f>BaseRelatórioGeral[[#This Row],[IR]]+BaseRelatórioGeral[[#This Row],[AGREGADO]]+BaseRelatórioGeral[[#This Row],[CSLL]]+BaseRelatórioGeral[[#This Row],[PIS/PASEP]]+BaseRelatórioGeral[[#This Row],[COFINS]]</f>
        <v>5.85</v>
      </c>
      <c r="AX21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21" s="42" t="str">
        <f>BaseRelatórioGeral[[#This Row],[UG Pagadora]]</f>
        <v>302122</v>
      </c>
      <c r="AZ21" s="42" t="b">
        <f>BaseRelatórioGeral[[#This Row],[Recolhedor Darf]]=BaseRelatórioGeral[[#This Row],[Credor]]</f>
        <v>1</v>
      </c>
      <c r="BA21" s="25" t="str">
        <f>IF(BaseRelatórioGeral[[#This Row],[Conferência de Alíquota]]="AmparadaporMedidaJudicial","OK","Correto")</f>
        <v>Correto</v>
      </c>
      <c r="BB21" s="25" t="str">
        <f>IF(BaseRelatórioGeral[[#This Row],[Conferência de Alíquota]]="AmparadaporMedidaJudicial","AmparadaporMedidaJudicial","Ok")</f>
        <v>Ok</v>
      </c>
    </row>
    <row r="22" spans="5:54" x14ac:dyDescent="0.3">
      <c r="E22" t="s">
        <v>96</v>
      </c>
      <c r="F22" t="s">
        <v>63</v>
      </c>
      <c r="G22" s="2" t="s">
        <v>64</v>
      </c>
      <c r="H22" s="2" t="s">
        <v>64</v>
      </c>
      <c r="I22" s="12" t="s">
        <v>71</v>
      </c>
      <c r="J22" s="12" t="s">
        <v>71</v>
      </c>
      <c r="K22" s="2" t="s">
        <v>65</v>
      </c>
      <c r="L22" s="61">
        <v>2604236000162</v>
      </c>
      <c r="M22" s="40">
        <v>45978</v>
      </c>
      <c r="N22" s="2" t="s">
        <v>59</v>
      </c>
      <c r="O22" s="12">
        <v>17023</v>
      </c>
      <c r="P22" t="s">
        <v>73</v>
      </c>
      <c r="Q22" s="2" t="s">
        <v>74</v>
      </c>
      <c r="R22" t="s">
        <v>66</v>
      </c>
      <c r="S22">
        <v>279.54000000000002</v>
      </c>
      <c r="T22" s="11">
        <v>19.71</v>
      </c>
      <c r="U22" s="49" t="s">
        <v>75</v>
      </c>
      <c r="V22" s="47" t="s">
        <v>97</v>
      </c>
      <c r="W22" s="46">
        <v>41756.61</v>
      </c>
      <c r="X22" t="s">
        <v>100</v>
      </c>
      <c r="Y22" s="2" t="s">
        <v>99</v>
      </c>
      <c r="Z22" s="41">
        <v>45979</v>
      </c>
      <c r="AA22" t="s">
        <v>87</v>
      </c>
      <c r="AB22" s="57">
        <v>2604236000162</v>
      </c>
      <c r="AC22" t="s">
        <v>189</v>
      </c>
      <c r="AD22" s="10" t="s">
        <v>100</v>
      </c>
      <c r="AE22" s="2" t="s">
        <v>68</v>
      </c>
      <c r="AF22" s="12" t="s">
        <v>68</v>
      </c>
      <c r="AG22" s="2" t="s">
        <v>68</v>
      </c>
      <c r="AH22"/>
      <c r="AI22">
        <v>19.71</v>
      </c>
      <c r="AJ22"/>
      <c r="AK22"/>
      <c r="AL22"/>
      <c r="AM22" t="b">
        <v>0</v>
      </c>
      <c r="AN22" t="s">
        <v>29</v>
      </c>
      <c r="AO22" s="12">
        <v>6175</v>
      </c>
      <c r="AP22" t="s">
        <v>91</v>
      </c>
      <c r="AQ22" t="b">
        <v>1</v>
      </c>
      <c r="AR22" s="1" t="s">
        <v>186</v>
      </c>
      <c r="AS22" t="b">
        <v>1</v>
      </c>
      <c r="AT22">
        <v>10</v>
      </c>
      <c r="AU22" s="50" t="str">
        <f t="array" ref="AU22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2" s="42" t="str">
        <f>IFERROR((CONCATENATE((MONTH(BaseRelatórioGeral[[#This Row],[Mês Pgto Fornecedor]])),"-",(YEAR(BaseRelatórioGeral[[#This Row],[Data OB Pgto Fornecedor]])))),"")</f>
        <v>11-2025</v>
      </c>
      <c r="AW22" s="42">
        <f>BaseRelatórioGeral[[#This Row],[IR]]+BaseRelatórioGeral[[#This Row],[AGREGADO]]+BaseRelatórioGeral[[#This Row],[CSLL]]+BaseRelatórioGeral[[#This Row],[PIS/PASEP]]+BaseRelatórioGeral[[#This Row],[COFINS]]</f>
        <v>19.71</v>
      </c>
      <c r="AX22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22" s="42" t="str">
        <f>BaseRelatórioGeral[[#This Row],[UG Pagadora]]</f>
        <v>302122</v>
      </c>
      <c r="AZ22" s="42" t="b">
        <f>BaseRelatórioGeral[[#This Row],[Recolhedor Darf]]=BaseRelatórioGeral[[#This Row],[Credor]]</f>
        <v>1</v>
      </c>
      <c r="BA22" s="25" t="str">
        <f>IF(BaseRelatórioGeral[[#This Row],[Conferência de Alíquota]]="AmparadaporMedidaJudicial","OK","Correto")</f>
        <v>Correto</v>
      </c>
      <c r="BB22" s="25" t="str">
        <f>IF(BaseRelatórioGeral[[#This Row],[Conferência de Alíquota]]="AmparadaporMedidaJudicial","AmparadaporMedidaJudicial","Ok")</f>
        <v>Ok</v>
      </c>
    </row>
    <row r="23" spans="5:54" x14ac:dyDescent="0.3">
      <c r="E23" t="s">
        <v>96</v>
      </c>
      <c r="F23" t="s">
        <v>63</v>
      </c>
      <c r="G23" s="2" t="s">
        <v>64</v>
      </c>
      <c r="H23" s="2" t="s">
        <v>64</v>
      </c>
      <c r="I23" s="12" t="s">
        <v>71</v>
      </c>
      <c r="J23" s="12" t="s">
        <v>71</v>
      </c>
      <c r="K23" s="2" t="s">
        <v>65</v>
      </c>
      <c r="L23" s="61">
        <v>96758461000105</v>
      </c>
      <c r="M23" s="40">
        <v>45978</v>
      </c>
      <c r="N23" s="2" t="s">
        <v>59</v>
      </c>
      <c r="O23" s="12">
        <v>17023</v>
      </c>
      <c r="P23" t="s">
        <v>73</v>
      </c>
      <c r="Q23" s="2" t="s">
        <v>74</v>
      </c>
      <c r="R23" t="s">
        <v>66</v>
      </c>
      <c r="S23">
        <v>59.46</v>
      </c>
      <c r="T23" s="11">
        <v>4.1900000000000004</v>
      </c>
      <c r="U23" s="49" t="s">
        <v>75</v>
      </c>
      <c r="V23" s="47" t="s">
        <v>97</v>
      </c>
      <c r="W23" s="46">
        <v>41756.61</v>
      </c>
      <c r="X23" t="s">
        <v>100</v>
      </c>
      <c r="Y23" s="2" t="s">
        <v>99</v>
      </c>
      <c r="Z23" s="41">
        <v>45979</v>
      </c>
      <c r="AA23" t="s">
        <v>87</v>
      </c>
      <c r="AB23" s="57">
        <v>96758461000105</v>
      </c>
      <c r="AC23" t="s">
        <v>204</v>
      </c>
      <c r="AD23" s="10" t="s">
        <v>100</v>
      </c>
      <c r="AE23" s="2" t="s">
        <v>68</v>
      </c>
      <c r="AF23" s="12" t="s">
        <v>68</v>
      </c>
      <c r="AG23" s="2" t="s">
        <v>68</v>
      </c>
      <c r="AH23"/>
      <c r="AI23">
        <v>4.1900000000000004</v>
      </c>
      <c r="AJ23"/>
      <c r="AK23"/>
      <c r="AL23"/>
      <c r="AM23" t="b">
        <v>0</v>
      </c>
      <c r="AN23" t="s">
        <v>29</v>
      </c>
      <c r="AO23" s="12">
        <v>6175</v>
      </c>
      <c r="AP23" t="s">
        <v>91</v>
      </c>
      <c r="AQ23" t="b">
        <v>1</v>
      </c>
      <c r="AR23" s="1" t="s">
        <v>186</v>
      </c>
      <c r="AS23" t="b">
        <v>1</v>
      </c>
      <c r="AT23">
        <v>11</v>
      </c>
      <c r="AU23" s="50" t="str">
        <f t="array" ref="AU23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3" s="42" t="str">
        <f>IFERROR((CONCATENATE((MONTH(BaseRelatórioGeral[[#This Row],[Mês Pgto Fornecedor]])),"-",(YEAR(BaseRelatórioGeral[[#This Row],[Data OB Pgto Fornecedor]])))),"")</f>
        <v>11-2025</v>
      </c>
      <c r="AW23" s="42">
        <f>BaseRelatórioGeral[[#This Row],[IR]]+BaseRelatórioGeral[[#This Row],[AGREGADO]]+BaseRelatórioGeral[[#This Row],[CSLL]]+BaseRelatórioGeral[[#This Row],[PIS/PASEP]]+BaseRelatórioGeral[[#This Row],[COFINS]]</f>
        <v>4.1900000000000004</v>
      </c>
      <c r="AX23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23" s="42" t="str">
        <f>BaseRelatórioGeral[[#This Row],[UG Pagadora]]</f>
        <v>302122</v>
      </c>
      <c r="AZ23" s="42" t="b">
        <f>BaseRelatórioGeral[[#This Row],[Recolhedor Darf]]=BaseRelatórioGeral[[#This Row],[Credor]]</f>
        <v>1</v>
      </c>
      <c r="BA23" s="25" t="str">
        <f>IF(BaseRelatórioGeral[[#This Row],[Conferência de Alíquota]]="AmparadaporMedidaJudicial","OK","Correto")</f>
        <v>Correto</v>
      </c>
      <c r="BB23" s="25" t="str">
        <f>IF(BaseRelatórioGeral[[#This Row],[Conferência de Alíquota]]="AmparadaporMedidaJudicial","AmparadaporMedidaJudicial","Ok")</f>
        <v>Ok</v>
      </c>
    </row>
    <row r="24" spans="5:54" x14ac:dyDescent="0.3">
      <c r="E24" t="s">
        <v>96</v>
      </c>
      <c r="F24" t="s">
        <v>63</v>
      </c>
      <c r="G24" s="2" t="s">
        <v>64</v>
      </c>
      <c r="H24" s="2" t="s">
        <v>64</v>
      </c>
      <c r="I24" s="12" t="s">
        <v>71</v>
      </c>
      <c r="J24" s="12" t="s">
        <v>71</v>
      </c>
      <c r="K24" s="2" t="s">
        <v>65</v>
      </c>
      <c r="L24" s="61">
        <v>41481191000138</v>
      </c>
      <c r="M24" s="40">
        <v>45978</v>
      </c>
      <c r="N24" s="2" t="s">
        <v>59</v>
      </c>
      <c r="O24" s="12">
        <v>17023</v>
      </c>
      <c r="P24" t="s">
        <v>73</v>
      </c>
      <c r="Q24" s="2" t="s">
        <v>74</v>
      </c>
      <c r="R24" t="s">
        <v>66</v>
      </c>
      <c r="S24">
        <v>169.73</v>
      </c>
      <c r="T24" s="11">
        <v>11.97</v>
      </c>
      <c r="U24" s="49" t="s">
        <v>75</v>
      </c>
      <c r="V24" s="47" t="s">
        <v>97</v>
      </c>
      <c r="W24" s="46">
        <v>41756.61</v>
      </c>
      <c r="X24" t="s">
        <v>100</v>
      </c>
      <c r="Y24" s="2" t="s">
        <v>99</v>
      </c>
      <c r="Z24" s="41">
        <v>45979</v>
      </c>
      <c r="AA24" t="s">
        <v>87</v>
      </c>
      <c r="AB24" s="57">
        <v>41481191000138</v>
      </c>
      <c r="AC24" t="s">
        <v>205</v>
      </c>
      <c r="AD24" s="10" t="s">
        <v>100</v>
      </c>
      <c r="AE24" s="2" t="s">
        <v>68</v>
      </c>
      <c r="AF24" s="12" t="s">
        <v>68</v>
      </c>
      <c r="AG24" s="2" t="s">
        <v>68</v>
      </c>
      <c r="AH24"/>
      <c r="AI24">
        <v>11.97</v>
      </c>
      <c r="AJ24"/>
      <c r="AK24"/>
      <c r="AL24"/>
      <c r="AM24" t="b">
        <v>0</v>
      </c>
      <c r="AN24" t="s">
        <v>29</v>
      </c>
      <c r="AO24" s="12">
        <v>6175</v>
      </c>
      <c r="AP24" t="s">
        <v>91</v>
      </c>
      <c r="AQ24" t="b">
        <v>1</v>
      </c>
      <c r="AR24" s="1" t="s">
        <v>186</v>
      </c>
      <c r="AS24" t="b">
        <v>1</v>
      </c>
      <c r="AT24">
        <v>12</v>
      </c>
      <c r="AU24" s="50" t="str">
        <f t="array" ref="AU24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4" s="42" t="str">
        <f>IFERROR((CONCATENATE((MONTH(BaseRelatórioGeral[[#This Row],[Mês Pgto Fornecedor]])),"-",(YEAR(BaseRelatórioGeral[[#This Row],[Data OB Pgto Fornecedor]])))),"")</f>
        <v>11-2025</v>
      </c>
      <c r="AW24" s="42">
        <f>BaseRelatórioGeral[[#This Row],[IR]]+BaseRelatórioGeral[[#This Row],[AGREGADO]]+BaseRelatórioGeral[[#This Row],[CSLL]]+BaseRelatórioGeral[[#This Row],[PIS/PASEP]]+BaseRelatórioGeral[[#This Row],[COFINS]]</f>
        <v>11.97</v>
      </c>
      <c r="AX24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24" s="42" t="str">
        <f>BaseRelatórioGeral[[#This Row],[UG Pagadora]]</f>
        <v>302122</v>
      </c>
      <c r="AZ24" s="42" t="b">
        <f>BaseRelatórioGeral[[#This Row],[Recolhedor Darf]]=BaseRelatórioGeral[[#This Row],[Credor]]</f>
        <v>1</v>
      </c>
      <c r="BA24" s="25" t="str">
        <f>IF(BaseRelatórioGeral[[#This Row],[Conferência de Alíquota]]="AmparadaporMedidaJudicial","OK","Correto")</f>
        <v>Correto</v>
      </c>
      <c r="BB24" s="25" t="str">
        <f>IF(BaseRelatórioGeral[[#This Row],[Conferência de Alíquota]]="AmparadaporMedidaJudicial","AmparadaporMedidaJudicial","Ok")</f>
        <v>Ok</v>
      </c>
    </row>
    <row r="25" spans="5:54" x14ac:dyDescent="0.3">
      <c r="E25" t="s">
        <v>96</v>
      </c>
      <c r="F25" t="s">
        <v>63</v>
      </c>
      <c r="G25" s="2" t="s">
        <v>64</v>
      </c>
      <c r="H25" s="2" t="s">
        <v>64</v>
      </c>
      <c r="I25" s="12" t="s">
        <v>71</v>
      </c>
      <c r="J25" s="12" t="s">
        <v>71</v>
      </c>
      <c r="K25" s="2" t="s">
        <v>65</v>
      </c>
      <c r="L25" s="62">
        <v>1590728000930</v>
      </c>
      <c r="M25" s="40">
        <v>45978</v>
      </c>
      <c r="N25" s="2" t="s">
        <v>101</v>
      </c>
      <c r="O25" s="12">
        <v>17024</v>
      </c>
      <c r="P25" t="s">
        <v>73</v>
      </c>
      <c r="Q25" s="2" t="s">
        <v>74</v>
      </c>
      <c r="R25" t="s">
        <v>66</v>
      </c>
      <c r="S25">
        <v>2519.75</v>
      </c>
      <c r="T25" s="11">
        <v>85.67</v>
      </c>
      <c r="U25" s="49" t="s">
        <v>75</v>
      </c>
      <c r="V25" s="47" t="s">
        <v>97</v>
      </c>
      <c r="W25" s="46">
        <v>41756.61</v>
      </c>
      <c r="X25" t="s">
        <v>102</v>
      </c>
      <c r="Y25" s="2" t="s">
        <v>99</v>
      </c>
      <c r="Z25" s="41">
        <v>45979</v>
      </c>
      <c r="AA25" t="s">
        <v>87</v>
      </c>
      <c r="AB25" s="60">
        <v>1590728000930</v>
      </c>
      <c r="AC25" t="s">
        <v>206</v>
      </c>
      <c r="AD25" s="10" t="s">
        <v>102</v>
      </c>
      <c r="AE25" s="2" t="s">
        <v>68</v>
      </c>
      <c r="AF25" s="12" t="s">
        <v>68</v>
      </c>
      <c r="AG25" s="2" t="s">
        <v>68</v>
      </c>
      <c r="AH25"/>
      <c r="AI25">
        <v>85.67</v>
      </c>
      <c r="AJ25"/>
      <c r="AK25"/>
      <c r="AL25"/>
      <c r="AM25" t="b">
        <v>0</v>
      </c>
      <c r="AN25" t="s">
        <v>29</v>
      </c>
      <c r="AO25" s="12">
        <v>8850</v>
      </c>
      <c r="AP25" t="s">
        <v>103</v>
      </c>
      <c r="AQ25" t="b">
        <v>1</v>
      </c>
      <c r="AR25" s="1" t="s">
        <v>186</v>
      </c>
      <c r="AS25" t="b">
        <v>1</v>
      </c>
      <c r="AT25">
        <v>13</v>
      </c>
      <c r="AU25" s="50" t="str">
        <f t="array" ref="AU25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5" s="42" t="str">
        <f>IFERROR((CONCATENATE((MONTH(BaseRelatórioGeral[[#This Row],[Mês Pgto Fornecedor]])),"-",(YEAR(BaseRelatórioGeral[[#This Row],[Data OB Pgto Fornecedor]])))),"")</f>
        <v>11-2025</v>
      </c>
      <c r="AW25" s="42">
        <f>BaseRelatórioGeral[[#This Row],[IR]]+BaseRelatórioGeral[[#This Row],[AGREGADO]]+BaseRelatórioGeral[[#This Row],[CSLL]]+BaseRelatórioGeral[[#This Row],[PIS/PASEP]]+BaseRelatórioGeral[[#This Row],[COFINS]]</f>
        <v>85.67</v>
      </c>
      <c r="AX25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25" s="42" t="str">
        <f>BaseRelatórioGeral[[#This Row],[UG Pagadora]]</f>
        <v>302122</v>
      </c>
      <c r="AZ25" s="42" t="b">
        <f>BaseRelatórioGeral[[#This Row],[Recolhedor Darf]]=BaseRelatórioGeral[[#This Row],[Credor]]</f>
        <v>1</v>
      </c>
      <c r="BA25" s="25" t="str">
        <f>IF(BaseRelatórioGeral[[#This Row],[Conferência de Alíquota]]="AmparadaporMedidaJudicial","OK","Correto")</f>
        <v>Correto</v>
      </c>
      <c r="BB25" s="25" t="str">
        <f>IF(BaseRelatórioGeral[[#This Row],[Conferência de Alíquota]]="AmparadaporMedidaJudicial","AmparadaporMedidaJudicial","Ok")</f>
        <v>Ok</v>
      </c>
    </row>
    <row r="26" spans="5:54" x14ac:dyDescent="0.3">
      <c r="E26" t="s">
        <v>96</v>
      </c>
      <c r="F26" t="s">
        <v>63</v>
      </c>
      <c r="G26" s="2" t="s">
        <v>64</v>
      </c>
      <c r="H26" s="2" t="s">
        <v>64</v>
      </c>
      <c r="I26" s="12" t="s">
        <v>71</v>
      </c>
      <c r="J26" s="12" t="s">
        <v>71</v>
      </c>
      <c r="K26" s="2" t="s">
        <v>65</v>
      </c>
      <c r="L26" s="61">
        <v>1217727000198</v>
      </c>
      <c r="M26" s="40">
        <v>45978</v>
      </c>
      <c r="N26" s="2" t="s">
        <v>101</v>
      </c>
      <c r="O26" s="12">
        <v>17024</v>
      </c>
      <c r="P26" t="s">
        <v>73</v>
      </c>
      <c r="Q26" s="2" t="s">
        <v>74</v>
      </c>
      <c r="R26" t="s">
        <v>66</v>
      </c>
      <c r="S26">
        <v>8176.16</v>
      </c>
      <c r="T26" s="11">
        <v>277.99</v>
      </c>
      <c r="U26" s="49" t="s">
        <v>75</v>
      </c>
      <c r="V26" s="47" t="s">
        <v>97</v>
      </c>
      <c r="W26" s="46">
        <v>41756.61</v>
      </c>
      <c r="X26" t="s">
        <v>102</v>
      </c>
      <c r="Y26" s="2" t="s">
        <v>99</v>
      </c>
      <c r="Z26" s="41">
        <v>45979</v>
      </c>
      <c r="AA26" t="s">
        <v>87</v>
      </c>
      <c r="AB26" s="57">
        <v>1217727000198</v>
      </c>
      <c r="AC26" t="s">
        <v>207</v>
      </c>
      <c r="AD26" s="10" t="s">
        <v>102</v>
      </c>
      <c r="AE26" s="2" t="s">
        <v>68</v>
      </c>
      <c r="AF26" s="12" t="s">
        <v>68</v>
      </c>
      <c r="AG26" s="2" t="s">
        <v>68</v>
      </c>
      <c r="AH26"/>
      <c r="AI26">
        <v>277.99</v>
      </c>
      <c r="AJ26"/>
      <c r="AK26"/>
      <c r="AL26"/>
      <c r="AM26" t="b">
        <v>0</v>
      </c>
      <c r="AN26" t="s">
        <v>29</v>
      </c>
      <c r="AO26" s="12">
        <v>8850</v>
      </c>
      <c r="AP26" t="s">
        <v>103</v>
      </c>
      <c r="AQ26" t="b">
        <v>1</v>
      </c>
      <c r="AR26" s="1" t="s">
        <v>186</v>
      </c>
      <c r="AS26" t="b">
        <v>1</v>
      </c>
      <c r="AT26">
        <v>14</v>
      </c>
      <c r="AU26" s="50" t="str">
        <f t="array" ref="AU26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6" s="42" t="str">
        <f>IFERROR((CONCATENATE((MONTH(BaseRelatórioGeral[[#This Row],[Mês Pgto Fornecedor]])),"-",(YEAR(BaseRelatórioGeral[[#This Row],[Data OB Pgto Fornecedor]])))),"")</f>
        <v>11-2025</v>
      </c>
      <c r="AW26" s="42">
        <f>BaseRelatórioGeral[[#This Row],[IR]]+BaseRelatórioGeral[[#This Row],[AGREGADO]]+BaseRelatórioGeral[[#This Row],[CSLL]]+BaseRelatórioGeral[[#This Row],[PIS/PASEP]]+BaseRelatórioGeral[[#This Row],[COFINS]]</f>
        <v>277.99</v>
      </c>
      <c r="AX26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26" s="42" t="str">
        <f>BaseRelatórioGeral[[#This Row],[UG Pagadora]]</f>
        <v>302122</v>
      </c>
      <c r="AZ26" s="42" t="b">
        <f>BaseRelatórioGeral[[#This Row],[Recolhedor Darf]]=BaseRelatórioGeral[[#This Row],[Credor]]</f>
        <v>1</v>
      </c>
      <c r="BA26" s="25" t="str">
        <f>IF(BaseRelatórioGeral[[#This Row],[Conferência de Alíquota]]="AmparadaporMedidaJudicial","OK","Correto")</f>
        <v>Correto</v>
      </c>
      <c r="BB26" s="25" t="str">
        <f>IF(BaseRelatórioGeral[[#This Row],[Conferência de Alíquota]]="AmparadaporMedidaJudicial","AmparadaporMedidaJudicial","Ok")</f>
        <v>Ok</v>
      </c>
    </row>
    <row r="27" spans="5:54" x14ac:dyDescent="0.3">
      <c r="E27" t="s">
        <v>84</v>
      </c>
      <c r="F27" t="s">
        <v>63</v>
      </c>
      <c r="G27" s="2" t="s">
        <v>64</v>
      </c>
      <c r="H27" s="2" t="s">
        <v>64</v>
      </c>
      <c r="I27" s="12" t="s">
        <v>71</v>
      </c>
      <c r="J27" s="12" t="s">
        <v>71</v>
      </c>
      <c r="K27" s="2" t="s">
        <v>65</v>
      </c>
      <c r="L27" s="61">
        <v>65149197000251</v>
      </c>
      <c r="M27" s="40">
        <v>45978</v>
      </c>
      <c r="N27" s="2" t="s">
        <v>61</v>
      </c>
      <c r="O27" s="12">
        <v>17023</v>
      </c>
      <c r="P27" t="s">
        <v>73</v>
      </c>
      <c r="Q27" s="2" t="s">
        <v>74</v>
      </c>
      <c r="R27" t="s">
        <v>66</v>
      </c>
      <c r="S27">
        <v>3103.4</v>
      </c>
      <c r="T27" s="11">
        <v>31.03</v>
      </c>
      <c r="U27" s="49" t="s">
        <v>75</v>
      </c>
      <c r="V27" s="47" t="s">
        <v>85</v>
      </c>
      <c r="W27" s="46">
        <v>16610.259999999998</v>
      </c>
      <c r="X27" t="s">
        <v>73</v>
      </c>
      <c r="Y27" s="2" t="s">
        <v>86</v>
      </c>
      <c r="Z27" s="41">
        <v>45979</v>
      </c>
      <c r="AA27" t="s">
        <v>87</v>
      </c>
      <c r="AB27" s="57">
        <v>65149197000251</v>
      </c>
      <c r="AC27" t="s">
        <v>208</v>
      </c>
      <c r="AD27" s="10" t="s">
        <v>90</v>
      </c>
      <c r="AE27" s="2" t="s">
        <v>68</v>
      </c>
      <c r="AF27" s="12" t="s">
        <v>68</v>
      </c>
      <c r="AG27" s="2" t="s">
        <v>68</v>
      </c>
      <c r="AH27"/>
      <c r="AI27"/>
      <c r="AJ27">
        <v>31.03</v>
      </c>
      <c r="AK27"/>
      <c r="AL27"/>
      <c r="AM27" t="b">
        <v>0</v>
      </c>
      <c r="AN27" t="s">
        <v>21</v>
      </c>
      <c r="AO27" s="12">
        <v>6228</v>
      </c>
      <c r="AP27" t="s">
        <v>91</v>
      </c>
      <c r="AQ27" t="b">
        <v>1</v>
      </c>
      <c r="AR27" s="1" t="s">
        <v>186</v>
      </c>
      <c r="AS27" t="b">
        <v>0</v>
      </c>
      <c r="AT27">
        <v>1</v>
      </c>
      <c r="AU27" s="50" t="str">
        <f t="array" ref="AU27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7" s="42" t="str">
        <f>IFERROR((CONCATENATE((MONTH(BaseRelatórioGeral[[#This Row],[Mês Pgto Fornecedor]])),"-",(YEAR(BaseRelatórioGeral[[#This Row],[Data OB Pgto Fornecedor]])))),"")</f>
        <v>11-2025</v>
      </c>
      <c r="AW27" s="42">
        <f>BaseRelatórioGeral[[#This Row],[IR]]+BaseRelatórioGeral[[#This Row],[AGREGADO]]+BaseRelatórioGeral[[#This Row],[CSLL]]+BaseRelatórioGeral[[#This Row],[PIS/PASEP]]+BaseRelatórioGeral[[#This Row],[COFINS]]</f>
        <v>31.03</v>
      </c>
      <c r="AX27" s="42" t="str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AmparadaporMedidaJudicial</v>
      </c>
      <c r="AY27" s="42" t="str">
        <f>BaseRelatórioGeral[[#This Row],[UG Pagadora]]</f>
        <v>302122</v>
      </c>
      <c r="AZ27" s="42" t="b">
        <f>BaseRelatórioGeral[[#This Row],[Recolhedor Darf]]=BaseRelatórioGeral[[#This Row],[Credor]]</f>
        <v>1</v>
      </c>
      <c r="BA27" s="25" t="str">
        <f>IF(BaseRelatórioGeral[[#This Row],[Conferência de Alíquota]]="AmparadaporMedidaJudicial","OK","Correto")</f>
        <v>OK</v>
      </c>
      <c r="BB27" s="25" t="str">
        <f>IF(BaseRelatórioGeral[[#This Row],[Conferência de Alíquota]]="AmparadaporMedidaJudicial","AmparadaporMedidaJudicial","Ok")</f>
        <v>AmparadaporMedidaJudicial</v>
      </c>
    </row>
    <row r="28" spans="5:54" x14ac:dyDescent="0.3">
      <c r="E28" t="s">
        <v>84</v>
      </c>
      <c r="F28" t="s">
        <v>63</v>
      </c>
      <c r="G28" s="2" t="s">
        <v>64</v>
      </c>
      <c r="H28" s="2" t="s">
        <v>64</v>
      </c>
      <c r="I28" s="12" t="s">
        <v>71</v>
      </c>
      <c r="J28" s="12" t="s">
        <v>71</v>
      </c>
      <c r="K28" s="2" t="s">
        <v>65</v>
      </c>
      <c r="L28" s="61">
        <v>19152814000170</v>
      </c>
      <c r="M28" s="40">
        <v>45978</v>
      </c>
      <c r="N28" s="2" t="s">
        <v>61</v>
      </c>
      <c r="O28" s="12">
        <v>17023</v>
      </c>
      <c r="P28" t="s">
        <v>73</v>
      </c>
      <c r="Q28" s="2" t="s">
        <v>74</v>
      </c>
      <c r="R28" t="s">
        <v>66</v>
      </c>
      <c r="S28">
        <v>9068.6</v>
      </c>
      <c r="T28" s="11">
        <v>90.69</v>
      </c>
      <c r="U28" s="49" t="s">
        <v>75</v>
      </c>
      <c r="V28" s="47" t="s">
        <v>85</v>
      </c>
      <c r="W28" s="46">
        <v>16610.259999999998</v>
      </c>
      <c r="X28" t="s">
        <v>73</v>
      </c>
      <c r="Y28" s="2" t="s">
        <v>86</v>
      </c>
      <c r="Z28" s="41">
        <v>45979</v>
      </c>
      <c r="AA28" t="s">
        <v>87</v>
      </c>
      <c r="AB28" s="57">
        <v>19152814000170</v>
      </c>
      <c r="AC28" t="s">
        <v>209</v>
      </c>
      <c r="AD28" s="10" t="s">
        <v>90</v>
      </c>
      <c r="AE28" s="2" t="s">
        <v>68</v>
      </c>
      <c r="AF28" s="12" t="s">
        <v>68</v>
      </c>
      <c r="AG28" s="2" t="s">
        <v>68</v>
      </c>
      <c r="AH28"/>
      <c r="AI28"/>
      <c r="AJ28">
        <v>90.69</v>
      </c>
      <c r="AK28"/>
      <c r="AL28"/>
      <c r="AM28" t="b">
        <v>0</v>
      </c>
      <c r="AN28" t="s">
        <v>21</v>
      </c>
      <c r="AO28" s="12">
        <v>6228</v>
      </c>
      <c r="AP28" t="s">
        <v>91</v>
      </c>
      <c r="AQ28" t="b">
        <v>1</v>
      </c>
      <c r="AR28" s="1" t="s">
        <v>186</v>
      </c>
      <c r="AS28" t="b">
        <v>0</v>
      </c>
      <c r="AT28">
        <v>2</v>
      </c>
      <c r="AU28" s="50" t="str">
        <f t="array" ref="AU28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8" s="42" t="str">
        <f>IFERROR((CONCATENATE((MONTH(BaseRelatórioGeral[[#This Row],[Mês Pgto Fornecedor]])),"-",(YEAR(BaseRelatórioGeral[[#This Row],[Data OB Pgto Fornecedor]])))),"")</f>
        <v>11-2025</v>
      </c>
      <c r="AW28" s="42">
        <f>BaseRelatórioGeral[[#This Row],[IR]]+BaseRelatórioGeral[[#This Row],[AGREGADO]]+BaseRelatórioGeral[[#This Row],[CSLL]]+BaseRelatórioGeral[[#This Row],[PIS/PASEP]]+BaseRelatórioGeral[[#This Row],[COFINS]]</f>
        <v>90.69</v>
      </c>
      <c r="AX28" s="42" t="str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AmparadaporMedidaJudicial</v>
      </c>
      <c r="AY28" s="42" t="str">
        <f>BaseRelatórioGeral[[#This Row],[UG Pagadora]]</f>
        <v>302122</v>
      </c>
      <c r="AZ28" s="42" t="b">
        <f>BaseRelatórioGeral[[#This Row],[Recolhedor Darf]]=BaseRelatórioGeral[[#This Row],[Credor]]</f>
        <v>1</v>
      </c>
      <c r="BA28" s="25" t="str">
        <f>IF(BaseRelatórioGeral[[#This Row],[Conferência de Alíquota]]="AmparadaporMedidaJudicial","OK","Correto")</f>
        <v>OK</v>
      </c>
      <c r="BB28" s="25" t="str">
        <f>IF(BaseRelatórioGeral[[#This Row],[Conferência de Alíquota]]="AmparadaporMedidaJudicial","AmparadaporMedidaJudicial","Ok")</f>
        <v>AmparadaporMedidaJudicial</v>
      </c>
    </row>
    <row r="29" spans="5:54" x14ac:dyDescent="0.3">
      <c r="E29" t="s">
        <v>84</v>
      </c>
      <c r="F29" t="s">
        <v>63</v>
      </c>
      <c r="G29" s="2" t="s">
        <v>64</v>
      </c>
      <c r="H29" s="2" t="s">
        <v>64</v>
      </c>
      <c r="I29" s="12" t="s">
        <v>71</v>
      </c>
      <c r="J29" s="12" t="s">
        <v>71</v>
      </c>
      <c r="K29" s="2" t="s">
        <v>65</v>
      </c>
      <c r="L29" s="61">
        <v>4011050000125</v>
      </c>
      <c r="M29" s="40">
        <v>45978</v>
      </c>
      <c r="N29" s="2" t="s">
        <v>61</v>
      </c>
      <c r="O29" s="12">
        <v>17023</v>
      </c>
      <c r="P29" t="s">
        <v>73</v>
      </c>
      <c r="Q29" s="2" t="s">
        <v>74</v>
      </c>
      <c r="R29" t="s">
        <v>66</v>
      </c>
      <c r="S29">
        <v>3906.1</v>
      </c>
      <c r="T29" s="11">
        <v>39.06</v>
      </c>
      <c r="U29" s="49" t="s">
        <v>75</v>
      </c>
      <c r="V29" s="47" t="s">
        <v>85</v>
      </c>
      <c r="W29" s="46">
        <v>16610.259999999998</v>
      </c>
      <c r="X29" t="s">
        <v>73</v>
      </c>
      <c r="Y29" s="2" t="s">
        <v>86</v>
      </c>
      <c r="Z29" s="41">
        <v>45979</v>
      </c>
      <c r="AA29" t="s">
        <v>87</v>
      </c>
      <c r="AB29" s="57">
        <v>4011050000125</v>
      </c>
      <c r="AC29" t="s">
        <v>210</v>
      </c>
      <c r="AD29" s="10" t="s">
        <v>90</v>
      </c>
      <c r="AE29" s="2" t="s">
        <v>68</v>
      </c>
      <c r="AF29" s="12" t="s">
        <v>68</v>
      </c>
      <c r="AG29" s="2" t="s">
        <v>68</v>
      </c>
      <c r="AH29"/>
      <c r="AI29"/>
      <c r="AJ29">
        <v>39.06</v>
      </c>
      <c r="AK29"/>
      <c r="AL29"/>
      <c r="AM29" t="b">
        <v>0</v>
      </c>
      <c r="AN29" t="s">
        <v>21</v>
      </c>
      <c r="AO29" s="12">
        <v>6228</v>
      </c>
      <c r="AP29" t="s">
        <v>91</v>
      </c>
      <c r="AQ29" t="b">
        <v>1</v>
      </c>
      <c r="AR29" s="1" t="s">
        <v>186</v>
      </c>
      <c r="AS29" t="b">
        <v>0</v>
      </c>
      <c r="AT29">
        <v>3</v>
      </c>
      <c r="AU29" s="50" t="str">
        <f t="array" ref="AU29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29" s="42" t="str">
        <f>IFERROR((CONCATENATE((MONTH(BaseRelatórioGeral[[#This Row],[Mês Pgto Fornecedor]])),"-",(YEAR(BaseRelatórioGeral[[#This Row],[Data OB Pgto Fornecedor]])))),"")</f>
        <v>11-2025</v>
      </c>
      <c r="AW29" s="42">
        <f>BaseRelatórioGeral[[#This Row],[IR]]+BaseRelatórioGeral[[#This Row],[AGREGADO]]+BaseRelatórioGeral[[#This Row],[CSLL]]+BaseRelatórioGeral[[#This Row],[PIS/PASEP]]+BaseRelatórioGeral[[#This Row],[COFINS]]</f>
        <v>39.06</v>
      </c>
      <c r="AX29" s="42" t="str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AmparadaporMedidaJudicial</v>
      </c>
      <c r="AY29" s="42" t="str">
        <f>BaseRelatórioGeral[[#This Row],[UG Pagadora]]</f>
        <v>302122</v>
      </c>
      <c r="AZ29" s="42" t="b">
        <f>BaseRelatórioGeral[[#This Row],[Recolhedor Darf]]=BaseRelatórioGeral[[#This Row],[Credor]]</f>
        <v>1</v>
      </c>
      <c r="BA29" s="25" t="str">
        <f>IF(BaseRelatórioGeral[[#This Row],[Conferência de Alíquota]]="AmparadaporMedidaJudicial","OK","Correto")</f>
        <v>OK</v>
      </c>
      <c r="BB29" s="25" t="str">
        <f>IF(BaseRelatórioGeral[[#This Row],[Conferência de Alíquota]]="AmparadaporMedidaJudicial","AmparadaporMedidaJudicial","Ok")</f>
        <v>AmparadaporMedidaJudicial</v>
      </c>
    </row>
    <row r="30" spans="5:54" x14ac:dyDescent="0.3">
      <c r="E30" t="s">
        <v>92</v>
      </c>
      <c r="F30" t="s">
        <v>63</v>
      </c>
      <c r="G30" s="2" t="s">
        <v>64</v>
      </c>
      <c r="H30" s="2" t="s">
        <v>64</v>
      </c>
      <c r="I30" s="12" t="s">
        <v>71</v>
      </c>
      <c r="J30" s="12" t="s">
        <v>71</v>
      </c>
      <c r="K30" s="2" t="s">
        <v>65</v>
      </c>
      <c r="L30" s="61">
        <v>4892991000115</v>
      </c>
      <c r="M30" s="40">
        <v>45978</v>
      </c>
      <c r="N30" s="2" t="s">
        <v>93</v>
      </c>
      <c r="O30" s="12">
        <v>17023</v>
      </c>
      <c r="P30" t="s">
        <v>73</v>
      </c>
      <c r="Q30" s="2" t="s">
        <v>74</v>
      </c>
      <c r="R30" t="s">
        <v>66</v>
      </c>
      <c r="S30">
        <v>3103.4</v>
      </c>
      <c r="T30" s="11">
        <v>74.48</v>
      </c>
      <c r="U30" s="49" t="s">
        <v>75</v>
      </c>
      <c r="V30" s="47" t="s">
        <v>85</v>
      </c>
      <c r="W30" s="46">
        <v>16610.259999999998</v>
      </c>
      <c r="X30" t="s">
        <v>94</v>
      </c>
      <c r="Y30" s="2" t="s">
        <v>86</v>
      </c>
      <c r="Z30" s="41">
        <v>45979</v>
      </c>
      <c r="AA30" t="s">
        <v>87</v>
      </c>
      <c r="AB30" s="57">
        <v>4892991000115</v>
      </c>
      <c r="AC30" t="s">
        <v>211</v>
      </c>
      <c r="AD30" s="10" t="s">
        <v>90</v>
      </c>
      <c r="AE30" s="2" t="s">
        <v>68</v>
      </c>
      <c r="AF30" s="12" t="s">
        <v>68</v>
      </c>
      <c r="AG30" s="2" t="s">
        <v>68</v>
      </c>
      <c r="AH30">
        <v>74.48</v>
      </c>
      <c r="AI30"/>
      <c r="AJ30"/>
      <c r="AK30"/>
      <c r="AL30"/>
      <c r="AM30" t="b">
        <v>0</v>
      </c>
      <c r="AN30" t="s">
        <v>95</v>
      </c>
      <c r="AO30" s="12">
        <v>6256</v>
      </c>
      <c r="AP30" t="s">
        <v>91</v>
      </c>
      <c r="AQ30" t="b">
        <v>1</v>
      </c>
      <c r="AR30" s="1" t="s">
        <v>186</v>
      </c>
      <c r="AS30" t="b">
        <v>0</v>
      </c>
      <c r="AT30">
        <v>4</v>
      </c>
      <c r="AU30" s="50" t="str">
        <f t="array" ref="AU30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0" s="42" t="str">
        <f>IFERROR((CONCATENATE((MONTH(BaseRelatórioGeral[[#This Row],[Mês Pgto Fornecedor]])),"-",(YEAR(BaseRelatórioGeral[[#This Row],[Data OB Pgto Fornecedor]])))),"")</f>
        <v>11-2025</v>
      </c>
      <c r="AW30" s="42">
        <f>BaseRelatórioGeral[[#This Row],[IR]]+BaseRelatórioGeral[[#This Row],[AGREGADO]]+BaseRelatórioGeral[[#This Row],[CSLL]]+BaseRelatórioGeral[[#This Row],[PIS/PASEP]]+BaseRelatórioGeral[[#This Row],[COFINS]]</f>
        <v>74.48</v>
      </c>
      <c r="AX30" s="42" t="str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AmparadaporMedidaJudicial</v>
      </c>
      <c r="AY30" s="42" t="str">
        <f>BaseRelatórioGeral[[#This Row],[UG Pagadora]]</f>
        <v>302122</v>
      </c>
      <c r="AZ30" s="42" t="b">
        <f>BaseRelatórioGeral[[#This Row],[Recolhedor Darf]]=BaseRelatórioGeral[[#This Row],[Credor]]</f>
        <v>1</v>
      </c>
      <c r="BA30" s="25" t="str">
        <f>IF(BaseRelatórioGeral[[#This Row],[Conferência de Alíquota]]="AmparadaporMedidaJudicial","OK","Correto")</f>
        <v>OK</v>
      </c>
      <c r="BB30" s="25" t="str">
        <f>IF(BaseRelatórioGeral[[#This Row],[Conferência de Alíquota]]="AmparadaporMedidaJudicial","AmparadaporMedidaJudicial","Ok")</f>
        <v>AmparadaporMedidaJudicial</v>
      </c>
    </row>
    <row r="31" spans="5:54" x14ac:dyDescent="0.3">
      <c r="E31" t="s">
        <v>92</v>
      </c>
      <c r="F31" t="s">
        <v>63</v>
      </c>
      <c r="G31" s="2" t="s">
        <v>64</v>
      </c>
      <c r="H31" s="2" t="s">
        <v>64</v>
      </c>
      <c r="I31" s="12" t="s">
        <v>71</v>
      </c>
      <c r="J31" s="12" t="s">
        <v>71</v>
      </c>
      <c r="K31" s="2" t="s">
        <v>65</v>
      </c>
      <c r="L31" s="62">
        <v>5795607000200</v>
      </c>
      <c r="M31" s="40">
        <v>45978</v>
      </c>
      <c r="N31" s="2" t="s">
        <v>93</v>
      </c>
      <c r="O31" s="12">
        <v>17023</v>
      </c>
      <c r="P31" t="s">
        <v>73</v>
      </c>
      <c r="Q31" s="2" t="s">
        <v>74</v>
      </c>
      <c r="R31" t="s">
        <v>66</v>
      </c>
      <c r="S31">
        <v>9068.6</v>
      </c>
      <c r="T31" s="11">
        <v>217.65</v>
      </c>
      <c r="U31" s="49" t="s">
        <v>75</v>
      </c>
      <c r="V31" s="47" t="s">
        <v>85</v>
      </c>
      <c r="W31" s="46">
        <v>16610.259999999998</v>
      </c>
      <c r="X31" t="s">
        <v>94</v>
      </c>
      <c r="Y31" s="2" t="s">
        <v>86</v>
      </c>
      <c r="Z31" s="41">
        <v>45979</v>
      </c>
      <c r="AA31" t="s">
        <v>87</v>
      </c>
      <c r="AB31" s="60">
        <v>5795607000200</v>
      </c>
      <c r="AC31" s="59" t="s">
        <v>190</v>
      </c>
      <c r="AD31" s="10" t="s">
        <v>90</v>
      </c>
      <c r="AE31" s="2" t="s">
        <v>68</v>
      </c>
      <c r="AF31" s="12" t="s">
        <v>68</v>
      </c>
      <c r="AG31" s="2" t="s">
        <v>68</v>
      </c>
      <c r="AH31">
        <v>217.65</v>
      </c>
      <c r="AI31"/>
      <c r="AJ31"/>
      <c r="AK31"/>
      <c r="AL31"/>
      <c r="AM31" t="b">
        <v>0</v>
      </c>
      <c r="AN31" t="s">
        <v>95</v>
      </c>
      <c r="AO31" s="12">
        <v>6256</v>
      </c>
      <c r="AP31" t="s">
        <v>91</v>
      </c>
      <c r="AQ31" t="b">
        <v>1</v>
      </c>
      <c r="AR31" s="1" t="s">
        <v>186</v>
      </c>
      <c r="AS31" t="b">
        <v>0</v>
      </c>
      <c r="AT31">
        <v>5</v>
      </c>
      <c r="AU31" s="50" t="str">
        <f t="array" ref="AU31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1" s="42" t="str">
        <f>IFERROR((CONCATENATE((MONTH(BaseRelatórioGeral[[#This Row],[Mês Pgto Fornecedor]])),"-",(YEAR(BaseRelatórioGeral[[#This Row],[Data OB Pgto Fornecedor]])))),"")</f>
        <v>11-2025</v>
      </c>
      <c r="AW31" s="42">
        <f>BaseRelatórioGeral[[#This Row],[IR]]+BaseRelatórioGeral[[#This Row],[AGREGADO]]+BaseRelatórioGeral[[#This Row],[CSLL]]+BaseRelatórioGeral[[#This Row],[PIS/PASEP]]+BaseRelatórioGeral[[#This Row],[COFINS]]</f>
        <v>217.65</v>
      </c>
      <c r="AX31" s="42" t="str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AmparadaporMedidaJudicial</v>
      </c>
      <c r="AY31" s="42" t="str">
        <f>BaseRelatórioGeral[[#This Row],[UG Pagadora]]</f>
        <v>302122</v>
      </c>
      <c r="AZ31" s="42" t="b">
        <f>BaseRelatórioGeral[[#This Row],[Recolhedor Darf]]=BaseRelatórioGeral[[#This Row],[Credor]]</f>
        <v>1</v>
      </c>
      <c r="BA31" s="25" t="str">
        <f>IF(BaseRelatórioGeral[[#This Row],[Conferência de Alíquota]]="AmparadaporMedidaJudicial","OK","Correto")</f>
        <v>OK</v>
      </c>
      <c r="BB31" s="25" t="str">
        <f>IF(BaseRelatórioGeral[[#This Row],[Conferência de Alíquota]]="AmparadaporMedidaJudicial","AmparadaporMedidaJudicial","Ok")</f>
        <v>AmparadaporMedidaJudicial</v>
      </c>
    </row>
    <row r="32" spans="5:54" x14ac:dyDescent="0.3">
      <c r="E32" t="s">
        <v>92</v>
      </c>
      <c r="F32" t="s">
        <v>63</v>
      </c>
      <c r="G32" s="2" t="s">
        <v>64</v>
      </c>
      <c r="H32" s="2" t="s">
        <v>64</v>
      </c>
      <c r="I32" s="12" t="s">
        <v>71</v>
      </c>
      <c r="J32" s="12" t="s">
        <v>71</v>
      </c>
      <c r="K32" s="2" t="s">
        <v>65</v>
      </c>
      <c r="L32" s="62">
        <v>81243735000903</v>
      </c>
      <c r="M32" s="40">
        <v>45978</v>
      </c>
      <c r="N32" s="2" t="s">
        <v>93</v>
      </c>
      <c r="O32" s="12">
        <v>17023</v>
      </c>
      <c r="P32" t="s">
        <v>73</v>
      </c>
      <c r="Q32" s="2" t="s">
        <v>74</v>
      </c>
      <c r="R32" t="s">
        <v>66</v>
      </c>
      <c r="S32">
        <v>3906.1</v>
      </c>
      <c r="T32" s="11">
        <v>93.75</v>
      </c>
      <c r="U32" s="49" t="s">
        <v>75</v>
      </c>
      <c r="V32" s="47" t="s">
        <v>85</v>
      </c>
      <c r="W32" s="46">
        <v>16610.259999999998</v>
      </c>
      <c r="X32" t="s">
        <v>94</v>
      </c>
      <c r="Y32" s="2" t="s">
        <v>86</v>
      </c>
      <c r="Z32" s="41">
        <v>45979</v>
      </c>
      <c r="AA32" t="s">
        <v>87</v>
      </c>
      <c r="AB32" s="60">
        <v>81243735000903</v>
      </c>
      <c r="AC32" t="s">
        <v>191</v>
      </c>
      <c r="AD32" s="10" t="s">
        <v>90</v>
      </c>
      <c r="AE32" s="2" t="s">
        <v>68</v>
      </c>
      <c r="AF32" s="12" t="s">
        <v>68</v>
      </c>
      <c r="AG32" s="2" t="s">
        <v>68</v>
      </c>
      <c r="AH32">
        <v>93.75</v>
      </c>
      <c r="AI32"/>
      <c r="AJ32"/>
      <c r="AK32"/>
      <c r="AL32"/>
      <c r="AM32" t="b">
        <v>0</v>
      </c>
      <c r="AN32" t="s">
        <v>95</v>
      </c>
      <c r="AO32" s="12">
        <v>6256</v>
      </c>
      <c r="AP32" t="s">
        <v>91</v>
      </c>
      <c r="AQ32" t="b">
        <v>1</v>
      </c>
      <c r="AR32" s="1" t="s">
        <v>186</v>
      </c>
      <c r="AS32" t="b">
        <v>0</v>
      </c>
      <c r="AT32">
        <v>6</v>
      </c>
      <c r="AU32" s="50" t="str">
        <f t="array" ref="AU32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2" s="42" t="str">
        <f>IFERROR((CONCATENATE((MONTH(BaseRelatórioGeral[[#This Row],[Mês Pgto Fornecedor]])),"-",(YEAR(BaseRelatórioGeral[[#This Row],[Data OB Pgto Fornecedor]])))),"")</f>
        <v>11-2025</v>
      </c>
      <c r="AW32" s="42">
        <f>BaseRelatórioGeral[[#This Row],[IR]]+BaseRelatórioGeral[[#This Row],[AGREGADO]]+BaseRelatórioGeral[[#This Row],[CSLL]]+BaseRelatórioGeral[[#This Row],[PIS/PASEP]]+BaseRelatórioGeral[[#This Row],[COFINS]]</f>
        <v>93.75</v>
      </c>
      <c r="AX32" s="42" t="str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AmparadaporMedidaJudicial</v>
      </c>
      <c r="AY32" s="42" t="str">
        <f>BaseRelatórioGeral[[#This Row],[UG Pagadora]]</f>
        <v>302122</v>
      </c>
      <c r="AZ32" s="42" t="b">
        <f>BaseRelatórioGeral[[#This Row],[Recolhedor Darf]]=BaseRelatórioGeral[[#This Row],[Credor]]</f>
        <v>1</v>
      </c>
      <c r="BA32" s="25" t="str">
        <f>IF(BaseRelatórioGeral[[#This Row],[Conferência de Alíquota]]="AmparadaporMedidaJudicial","OK","Correto")</f>
        <v>OK</v>
      </c>
      <c r="BB32" s="25" t="str">
        <f>IF(BaseRelatórioGeral[[#This Row],[Conferência de Alíquota]]="AmparadaporMedidaJudicial","AmparadaporMedidaJudicial","Ok")</f>
        <v>AmparadaporMedidaJudicial</v>
      </c>
    </row>
    <row r="33" spans="5:54" x14ac:dyDescent="0.3">
      <c r="E33" t="s">
        <v>174</v>
      </c>
      <c r="F33" t="s">
        <v>63</v>
      </c>
      <c r="G33" s="2" t="s">
        <v>64</v>
      </c>
      <c r="H33" s="2" t="s">
        <v>64</v>
      </c>
      <c r="I33" s="12" t="s">
        <v>71</v>
      </c>
      <c r="J33" s="12" t="s">
        <v>71</v>
      </c>
      <c r="K33" s="2" t="s">
        <v>65</v>
      </c>
      <c r="L33" s="61">
        <v>59717553000617</v>
      </c>
      <c r="M33" s="40">
        <v>45978</v>
      </c>
      <c r="N33" s="2" t="s">
        <v>59</v>
      </c>
      <c r="O33" s="12">
        <v>17023</v>
      </c>
      <c r="P33" t="s">
        <v>73</v>
      </c>
      <c r="Q33" s="2" t="s">
        <v>74</v>
      </c>
      <c r="R33"/>
      <c r="S33">
        <v>181.86</v>
      </c>
      <c r="T33" s="11">
        <v>12.82</v>
      </c>
      <c r="U33" s="49"/>
      <c r="V33" s="47" t="s">
        <v>85</v>
      </c>
      <c r="W33" s="46">
        <v>16610.259999999998</v>
      </c>
      <c r="X33" t="s">
        <v>100</v>
      </c>
      <c r="Y33" s="2" t="s">
        <v>86</v>
      </c>
      <c r="Z33" s="41">
        <v>45979</v>
      </c>
      <c r="AA33" t="s">
        <v>87</v>
      </c>
      <c r="AB33" s="57">
        <v>59717553000617</v>
      </c>
      <c r="AC33" t="s">
        <v>192</v>
      </c>
      <c r="AD33" s="10" t="s">
        <v>100</v>
      </c>
      <c r="AE33" s="2" t="s">
        <v>68</v>
      </c>
      <c r="AF33" s="12" t="s">
        <v>68</v>
      </c>
      <c r="AG33" s="2" t="s">
        <v>68</v>
      </c>
      <c r="AH33"/>
      <c r="AI33">
        <v>12.82</v>
      </c>
      <c r="AJ33"/>
      <c r="AK33"/>
      <c r="AL33"/>
      <c r="AM33" t="b">
        <v>0</v>
      </c>
      <c r="AN33" t="s">
        <v>29</v>
      </c>
      <c r="AO33" s="12">
        <v>6175</v>
      </c>
      <c r="AP33" t="s">
        <v>91</v>
      </c>
      <c r="AQ33" t="b">
        <v>1</v>
      </c>
      <c r="AR33" s="1" t="s">
        <v>186</v>
      </c>
      <c r="AS33" t="b">
        <v>1</v>
      </c>
      <c r="AT33">
        <v>28</v>
      </c>
      <c r="AU33" s="50" t="str">
        <f t="array" ref="AU33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3" s="42" t="str">
        <f>IFERROR((CONCATENATE((MONTH(BaseRelatórioGeral[[#This Row],[Mês Pgto Fornecedor]])),"-",(YEAR(BaseRelatórioGeral[[#This Row],[Data OB Pgto Fornecedor]])))),"")</f>
        <v>11-2025</v>
      </c>
      <c r="AW33" s="42">
        <f>BaseRelatórioGeral[[#This Row],[IR]]+BaseRelatórioGeral[[#This Row],[AGREGADO]]+BaseRelatórioGeral[[#This Row],[CSLL]]+BaseRelatórioGeral[[#This Row],[PIS/PASEP]]+BaseRelatórioGeral[[#This Row],[COFINS]]</f>
        <v>12.82</v>
      </c>
      <c r="AX33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33" s="42" t="str">
        <f>BaseRelatórioGeral[[#This Row],[UG Pagadora]]</f>
        <v>302122</v>
      </c>
      <c r="AZ33" s="42" t="b">
        <f>BaseRelatórioGeral[[#This Row],[Recolhedor Darf]]=BaseRelatórioGeral[[#This Row],[Credor]]</f>
        <v>1</v>
      </c>
      <c r="BA33" s="25" t="str">
        <f>IF(BaseRelatórioGeral[[#This Row],[Conferência de Alíquota]]="AmparadaporMedidaJudicial","OK","Correto")</f>
        <v>Correto</v>
      </c>
      <c r="BB33" s="25" t="str">
        <f>IF(BaseRelatórioGeral[[#This Row],[Conferência de Alíquota]]="AmparadaporMedidaJudicial","AmparadaporMedidaJudicial","Ok")</f>
        <v>Ok</v>
      </c>
    </row>
    <row r="34" spans="5:54" x14ac:dyDescent="0.3">
      <c r="E34" t="s">
        <v>174</v>
      </c>
      <c r="F34" t="s">
        <v>63</v>
      </c>
      <c r="G34" s="2" t="s">
        <v>64</v>
      </c>
      <c r="H34" s="2" t="s">
        <v>64</v>
      </c>
      <c r="I34" s="12" t="s">
        <v>71</v>
      </c>
      <c r="J34" s="12" t="s">
        <v>71</v>
      </c>
      <c r="K34" s="2" t="s">
        <v>65</v>
      </c>
      <c r="L34" s="61">
        <v>40216559000178</v>
      </c>
      <c r="M34" s="40">
        <v>45978</v>
      </c>
      <c r="N34" s="2" t="s">
        <v>59</v>
      </c>
      <c r="O34" s="12">
        <v>17023</v>
      </c>
      <c r="P34" t="s">
        <v>73</v>
      </c>
      <c r="Q34" s="2" t="s">
        <v>74</v>
      </c>
      <c r="R34"/>
      <c r="S34">
        <v>33.56</v>
      </c>
      <c r="T34" s="11">
        <v>2.37</v>
      </c>
      <c r="U34" s="49"/>
      <c r="V34" s="47" t="s">
        <v>85</v>
      </c>
      <c r="W34" s="46">
        <v>16610.259999999998</v>
      </c>
      <c r="X34" t="s">
        <v>175</v>
      </c>
      <c r="Y34" s="2" t="s">
        <v>86</v>
      </c>
      <c r="Z34" s="41">
        <v>45979</v>
      </c>
      <c r="AA34" t="s">
        <v>87</v>
      </c>
      <c r="AB34" s="57">
        <v>40216559000178</v>
      </c>
      <c r="AC34" t="s">
        <v>193</v>
      </c>
      <c r="AD34" s="10" t="s">
        <v>100</v>
      </c>
      <c r="AE34" s="2" t="s">
        <v>68</v>
      </c>
      <c r="AF34" s="12" t="s">
        <v>68</v>
      </c>
      <c r="AG34" s="2" t="s">
        <v>68</v>
      </c>
      <c r="AH34"/>
      <c r="AI34">
        <v>2.37</v>
      </c>
      <c r="AJ34"/>
      <c r="AK34"/>
      <c r="AL34"/>
      <c r="AM34" t="b">
        <v>0</v>
      </c>
      <c r="AN34" t="s">
        <v>29</v>
      </c>
      <c r="AO34" s="12">
        <v>6175</v>
      </c>
      <c r="AP34" t="s">
        <v>91</v>
      </c>
      <c r="AQ34" t="b">
        <v>1</v>
      </c>
      <c r="AR34" s="1" t="s">
        <v>186</v>
      </c>
      <c r="AS34" t="b">
        <v>0</v>
      </c>
      <c r="AT34">
        <v>29</v>
      </c>
      <c r="AU34" s="50" t="str">
        <f t="array" ref="AU34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4" s="42" t="str">
        <f>IFERROR((CONCATENATE((MONTH(BaseRelatórioGeral[[#This Row],[Mês Pgto Fornecedor]])),"-",(YEAR(BaseRelatórioGeral[[#This Row],[Data OB Pgto Fornecedor]])))),"")</f>
        <v>11-2025</v>
      </c>
      <c r="AW34" s="42">
        <f>BaseRelatórioGeral[[#This Row],[IR]]+BaseRelatórioGeral[[#This Row],[AGREGADO]]+BaseRelatórioGeral[[#This Row],[CSLL]]+BaseRelatórioGeral[[#This Row],[PIS/PASEP]]+BaseRelatórioGeral[[#This Row],[COFINS]]</f>
        <v>2.37</v>
      </c>
      <c r="AX34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34" s="42" t="str">
        <f>BaseRelatórioGeral[[#This Row],[UG Pagadora]]</f>
        <v>302122</v>
      </c>
      <c r="AZ34" s="42" t="b">
        <f>BaseRelatórioGeral[[#This Row],[Recolhedor Darf]]=BaseRelatórioGeral[[#This Row],[Credor]]</f>
        <v>1</v>
      </c>
      <c r="BA34" s="25" t="str">
        <f>IF(BaseRelatórioGeral[[#This Row],[Conferência de Alíquota]]="AmparadaporMedidaJudicial","OK","Correto")</f>
        <v>Correto</v>
      </c>
      <c r="BB34" s="25" t="str">
        <f>IF(BaseRelatórioGeral[[#This Row],[Conferência de Alíquota]]="AmparadaporMedidaJudicial","AmparadaporMedidaJudicial","Ok")</f>
        <v>Ok</v>
      </c>
    </row>
    <row r="35" spans="5:54" x14ac:dyDescent="0.3">
      <c r="E35" t="s">
        <v>174</v>
      </c>
      <c r="F35" t="s">
        <v>63</v>
      </c>
      <c r="G35" s="2" t="s">
        <v>64</v>
      </c>
      <c r="H35" s="2" t="s">
        <v>64</v>
      </c>
      <c r="I35" s="12" t="s">
        <v>71</v>
      </c>
      <c r="J35" s="12" t="s">
        <v>71</v>
      </c>
      <c r="K35" s="2" t="s">
        <v>65</v>
      </c>
      <c r="L35" s="61">
        <v>21323689000165</v>
      </c>
      <c r="M35" s="40">
        <v>45978</v>
      </c>
      <c r="N35" s="2" t="s">
        <v>59</v>
      </c>
      <c r="O35" s="12">
        <v>17023</v>
      </c>
      <c r="P35" t="s">
        <v>73</v>
      </c>
      <c r="Q35" s="2" t="s">
        <v>74</v>
      </c>
      <c r="R35"/>
      <c r="S35">
        <v>59.95</v>
      </c>
      <c r="T35" s="11">
        <v>4.2300000000000004</v>
      </c>
      <c r="U35" s="49"/>
      <c r="V35" s="47" t="s">
        <v>85</v>
      </c>
      <c r="W35" s="46">
        <v>16610.259999999998</v>
      </c>
      <c r="X35" t="s">
        <v>175</v>
      </c>
      <c r="Y35" s="2" t="s">
        <v>86</v>
      </c>
      <c r="Z35" s="41">
        <v>45979</v>
      </c>
      <c r="AA35" t="s">
        <v>87</v>
      </c>
      <c r="AB35" s="57">
        <v>21323689000165</v>
      </c>
      <c r="AC35" t="s">
        <v>194</v>
      </c>
      <c r="AD35" s="10" t="s">
        <v>100</v>
      </c>
      <c r="AE35" s="2" t="s">
        <v>68</v>
      </c>
      <c r="AF35" s="12" t="s">
        <v>68</v>
      </c>
      <c r="AG35" s="2" t="s">
        <v>68</v>
      </c>
      <c r="AH35"/>
      <c r="AI35">
        <v>4.2300000000000004</v>
      </c>
      <c r="AJ35"/>
      <c r="AK35"/>
      <c r="AL35"/>
      <c r="AM35" t="b">
        <v>0</v>
      </c>
      <c r="AN35" t="s">
        <v>29</v>
      </c>
      <c r="AO35" s="12">
        <v>6175</v>
      </c>
      <c r="AP35" t="s">
        <v>91</v>
      </c>
      <c r="AQ35" t="b">
        <v>1</v>
      </c>
      <c r="AR35" s="1" t="s">
        <v>186</v>
      </c>
      <c r="AS35" t="b">
        <v>0</v>
      </c>
      <c r="AT35">
        <v>30</v>
      </c>
      <c r="AU35" s="50" t="str">
        <f t="array" ref="AU35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5" s="42" t="str">
        <f>IFERROR((CONCATENATE((MONTH(BaseRelatórioGeral[[#This Row],[Mês Pgto Fornecedor]])),"-",(YEAR(BaseRelatórioGeral[[#This Row],[Data OB Pgto Fornecedor]])))),"")</f>
        <v>11-2025</v>
      </c>
      <c r="AW35" s="42">
        <f>BaseRelatórioGeral[[#This Row],[IR]]+BaseRelatórioGeral[[#This Row],[AGREGADO]]+BaseRelatórioGeral[[#This Row],[CSLL]]+BaseRelatórioGeral[[#This Row],[PIS/PASEP]]+BaseRelatórioGeral[[#This Row],[COFINS]]</f>
        <v>4.2300000000000004</v>
      </c>
      <c r="AX35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35" s="42" t="str">
        <f>BaseRelatórioGeral[[#This Row],[UG Pagadora]]</f>
        <v>302122</v>
      </c>
      <c r="AZ35" s="42" t="b">
        <f>BaseRelatórioGeral[[#This Row],[Recolhedor Darf]]=BaseRelatórioGeral[[#This Row],[Credor]]</f>
        <v>1</v>
      </c>
      <c r="BA35" s="25" t="str">
        <f>IF(BaseRelatórioGeral[[#This Row],[Conferência de Alíquota]]="AmparadaporMedidaJudicial","OK","Correto")</f>
        <v>Correto</v>
      </c>
      <c r="BB35" s="25" t="str">
        <f>IF(BaseRelatórioGeral[[#This Row],[Conferência de Alíquota]]="AmparadaporMedidaJudicial","AmparadaporMedidaJudicial","Ok")</f>
        <v>Ok</v>
      </c>
    </row>
    <row r="36" spans="5:54" x14ac:dyDescent="0.3">
      <c r="E36" t="s">
        <v>174</v>
      </c>
      <c r="F36" t="s">
        <v>63</v>
      </c>
      <c r="G36" s="2" t="s">
        <v>64</v>
      </c>
      <c r="H36" s="2" t="s">
        <v>64</v>
      </c>
      <c r="I36" s="12" t="s">
        <v>71</v>
      </c>
      <c r="J36" s="12" t="s">
        <v>71</v>
      </c>
      <c r="K36" s="2" t="s">
        <v>65</v>
      </c>
      <c r="L36" s="61">
        <v>27451750000136</v>
      </c>
      <c r="M36" s="40">
        <v>45978</v>
      </c>
      <c r="N36" s="2" t="s">
        <v>59</v>
      </c>
      <c r="O36" s="12">
        <v>17023</v>
      </c>
      <c r="P36" t="s">
        <v>73</v>
      </c>
      <c r="Q36" s="2" t="s">
        <v>74</v>
      </c>
      <c r="R36"/>
      <c r="S36">
        <v>59.46</v>
      </c>
      <c r="T36" s="11">
        <v>4.1900000000000004</v>
      </c>
      <c r="U36" s="49"/>
      <c r="V36" s="47" t="s">
        <v>85</v>
      </c>
      <c r="W36" s="46">
        <v>16610.259999999998</v>
      </c>
      <c r="X36" t="s">
        <v>100</v>
      </c>
      <c r="Y36" s="2" t="s">
        <v>86</v>
      </c>
      <c r="Z36" s="41">
        <v>45979</v>
      </c>
      <c r="AA36" t="s">
        <v>87</v>
      </c>
      <c r="AB36" s="57">
        <v>27451750000136</v>
      </c>
      <c r="AC36" t="s">
        <v>195</v>
      </c>
      <c r="AD36" s="10" t="s">
        <v>100</v>
      </c>
      <c r="AE36" s="2" t="s">
        <v>68</v>
      </c>
      <c r="AF36" s="12" t="s">
        <v>68</v>
      </c>
      <c r="AG36" s="2" t="s">
        <v>68</v>
      </c>
      <c r="AH36"/>
      <c r="AI36">
        <v>4.1900000000000004</v>
      </c>
      <c r="AJ36"/>
      <c r="AK36"/>
      <c r="AL36"/>
      <c r="AM36" t="b">
        <v>0</v>
      </c>
      <c r="AN36" t="s">
        <v>29</v>
      </c>
      <c r="AO36" s="12">
        <v>6175</v>
      </c>
      <c r="AP36" t="s">
        <v>91</v>
      </c>
      <c r="AQ36" t="b">
        <v>1</v>
      </c>
      <c r="AR36" s="1" t="s">
        <v>186</v>
      </c>
      <c r="AS36" t="b">
        <v>1</v>
      </c>
      <c r="AT36">
        <v>31</v>
      </c>
      <c r="AU36" s="50" t="str">
        <f t="array" ref="AU36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6" s="42" t="str">
        <f>IFERROR((CONCATENATE((MONTH(BaseRelatórioGeral[[#This Row],[Mês Pgto Fornecedor]])),"-",(YEAR(BaseRelatórioGeral[[#This Row],[Data OB Pgto Fornecedor]])))),"")</f>
        <v>11-2025</v>
      </c>
      <c r="AW36" s="42">
        <f>BaseRelatórioGeral[[#This Row],[IR]]+BaseRelatórioGeral[[#This Row],[AGREGADO]]+BaseRelatórioGeral[[#This Row],[CSLL]]+BaseRelatórioGeral[[#This Row],[PIS/PASEP]]+BaseRelatórioGeral[[#This Row],[COFINS]]</f>
        <v>4.1900000000000004</v>
      </c>
      <c r="AX36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36" s="42" t="str">
        <f>BaseRelatórioGeral[[#This Row],[UG Pagadora]]</f>
        <v>302122</v>
      </c>
      <c r="AZ36" s="42" t="b">
        <f>BaseRelatórioGeral[[#This Row],[Recolhedor Darf]]=BaseRelatórioGeral[[#This Row],[Credor]]</f>
        <v>1</v>
      </c>
      <c r="BA36" s="25" t="str">
        <f>IF(BaseRelatórioGeral[[#This Row],[Conferência de Alíquota]]="AmparadaporMedidaJudicial","OK","Correto")</f>
        <v>Correto</v>
      </c>
      <c r="BB36" s="25" t="str">
        <f>IF(BaseRelatórioGeral[[#This Row],[Conferência de Alíquota]]="AmparadaporMedidaJudicial","AmparadaporMedidaJudicial","Ok")</f>
        <v>Ok</v>
      </c>
    </row>
    <row r="37" spans="5:54" x14ac:dyDescent="0.3">
      <c r="E37" t="s">
        <v>174</v>
      </c>
      <c r="F37" t="s">
        <v>63</v>
      </c>
      <c r="G37" s="2" t="s">
        <v>64</v>
      </c>
      <c r="H37" s="2" t="s">
        <v>64</v>
      </c>
      <c r="I37" s="12" t="s">
        <v>71</v>
      </c>
      <c r="J37" s="12" t="s">
        <v>71</v>
      </c>
      <c r="K37" s="2" t="s">
        <v>65</v>
      </c>
      <c r="L37" s="61">
        <v>40216559000178</v>
      </c>
      <c r="M37" s="40">
        <v>45978</v>
      </c>
      <c r="N37" s="2" t="s">
        <v>59</v>
      </c>
      <c r="O37" s="12">
        <v>17023</v>
      </c>
      <c r="P37" t="s">
        <v>73</v>
      </c>
      <c r="Q37" s="2" t="s">
        <v>74</v>
      </c>
      <c r="R37"/>
      <c r="S37">
        <v>197.22</v>
      </c>
      <c r="T37" s="11">
        <v>13.9</v>
      </c>
      <c r="U37" s="49"/>
      <c r="V37" s="47" t="s">
        <v>85</v>
      </c>
      <c r="W37" s="46">
        <v>16610.259999999998</v>
      </c>
      <c r="X37" t="s">
        <v>100</v>
      </c>
      <c r="Y37" s="2" t="s">
        <v>86</v>
      </c>
      <c r="Z37" s="41">
        <v>45979</v>
      </c>
      <c r="AA37" t="s">
        <v>87</v>
      </c>
      <c r="AB37" s="57">
        <v>40216559000178</v>
      </c>
      <c r="AC37" t="s">
        <v>196</v>
      </c>
      <c r="AD37" s="10" t="s">
        <v>100</v>
      </c>
      <c r="AE37" s="2" t="s">
        <v>68</v>
      </c>
      <c r="AF37" s="12" t="s">
        <v>68</v>
      </c>
      <c r="AG37" s="2" t="s">
        <v>68</v>
      </c>
      <c r="AH37"/>
      <c r="AI37">
        <v>13.9</v>
      </c>
      <c r="AJ37"/>
      <c r="AK37"/>
      <c r="AL37"/>
      <c r="AM37" t="b">
        <v>0</v>
      </c>
      <c r="AN37" t="s">
        <v>29</v>
      </c>
      <c r="AO37" s="12">
        <v>6175</v>
      </c>
      <c r="AP37" t="s">
        <v>91</v>
      </c>
      <c r="AQ37" t="b">
        <v>1</v>
      </c>
      <c r="AR37" s="1" t="s">
        <v>186</v>
      </c>
      <c r="AS37" t="b">
        <v>1</v>
      </c>
      <c r="AT37">
        <v>32</v>
      </c>
      <c r="AU37" s="50" t="str">
        <f t="array" ref="AU37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7" s="42" t="str">
        <f>IFERROR((CONCATENATE((MONTH(BaseRelatórioGeral[[#This Row],[Mês Pgto Fornecedor]])),"-",(YEAR(BaseRelatórioGeral[[#This Row],[Data OB Pgto Fornecedor]])))),"")</f>
        <v>11-2025</v>
      </c>
      <c r="AW37" s="42">
        <f>BaseRelatórioGeral[[#This Row],[IR]]+BaseRelatórioGeral[[#This Row],[AGREGADO]]+BaseRelatórioGeral[[#This Row],[CSLL]]+BaseRelatórioGeral[[#This Row],[PIS/PASEP]]+BaseRelatórioGeral[[#This Row],[COFINS]]</f>
        <v>13.9</v>
      </c>
      <c r="AX37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37" s="42" t="str">
        <f>BaseRelatórioGeral[[#This Row],[UG Pagadora]]</f>
        <v>302122</v>
      </c>
      <c r="AZ37" s="42" t="b">
        <f>BaseRelatórioGeral[[#This Row],[Recolhedor Darf]]=BaseRelatórioGeral[[#This Row],[Credor]]</f>
        <v>1</v>
      </c>
      <c r="BA37" s="25" t="str">
        <f>IF(BaseRelatórioGeral[[#This Row],[Conferência de Alíquota]]="AmparadaporMedidaJudicial","OK","Correto")</f>
        <v>Correto</v>
      </c>
      <c r="BB37" s="25" t="str">
        <f>IF(BaseRelatórioGeral[[#This Row],[Conferência de Alíquota]]="AmparadaporMedidaJudicial","AmparadaporMedidaJudicial","Ok")</f>
        <v>Ok</v>
      </c>
    </row>
    <row r="38" spans="5:54" x14ac:dyDescent="0.3">
      <c r="E38" t="s">
        <v>168</v>
      </c>
      <c r="F38" t="s">
        <v>63</v>
      </c>
      <c r="G38" s="2" t="s">
        <v>64</v>
      </c>
      <c r="H38" s="2" t="s">
        <v>64</v>
      </c>
      <c r="I38" s="12" t="s">
        <v>71</v>
      </c>
      <c r="J38" s="12" t="s">
        <v>71</v>
      </c>
      <c r="K38" s="2" t="s">
        <v>65</v>
      </c>
      <c r="L38" s="2" t="s">
        <v>169</v>
      </c>
      <c r="M38" s="40">
        <v>45980</v>
      </c>
      <c r="N38" s="2" t="s">
        <v>57</v>
      </c>
      <c r="O38" s="12">
        <v>17033</v>
      </c>
      <c r="P38" t="s">
        <v>73</v>
      </c>
      <c r="Q38" s="2" t="s">
        <v>74</v>
      </c>
      <c r="R38" t="s">
        <v>66</v>
      </c>
      <c r="S38">
        <v>41890.239999999998</v>
      </c>
      <c r="T38" s="11">
        <v>3958.63</v>
      </c>
      <c r="U38" s="49" t="s">
        <v>75</v>
      </c>
      <c r="V38" s="47" t="s">
        <v>170</v>
      </c>
      <c r="W38" s="46">
        <v>41890.239999999998</v>
      </c>
      <c r="X38" t="s">
        <v>67</v>
      </c>
      <c r="Y38" s="2" t="s">
        <v>171</v>
      </c>
      <c r="Z38" s="41">
        <v>45982</v>
      </c>
      <c r="AA38" t="s">
        <v>172</v>
      </c>
      <c r="AB38" t="s">
        <v>169</v>
      </c>
      <c r="AC38" t="s">
        <v>173</v>
      </c>
      <c r="AD38" s="10" t="s">
        <v>67</v>
      </c>
      <c r="AE38" s="2" t="s">
        <v>68</v>
      </c>
      <c r="AF38" s="12" t="s">
        <v>68</v>
      </c>
      <c r="AG38" s="2" t="s">
        <v>68</v>
      </c>
      <c r="AH38"/>
      <c r="AI38">
        <v>3958.63</v>
      </c>
      <c r="AJ38"/>
      <c r="AK38"/>
      <c r="AL38"/>
      <c r="AM38" t="b">
        <v>0</v>
      </c>
      <c r="AN38" t="s">
        <v>29</v>
      </c>
      <c r="AO38" s="12">
        <v>6190</v>
      </c>
      <c r="AP38" t="s">
        <v>69</v>
      </c>
      <c r="AQ38" t="b">
        <v>1</v>
      </c>
      <c r="AR38" s="1" t="s">
        <v>186</v>
      </c>
      <c r="AS38" t="b">
        <v>1</v>
      </c>
      <c r="AT38">
        <v>22</v>
      </c>
      <c r="AU38" s="50" t="str">
        <f t="array" ref="AU38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8" s="42" t="str">
        <f>IFERROR((CONCATENATE((MONTH(BaseRelatórioGeral[[#This Row],[Mês Pgto Fornecedor]])),"-",(YEAR(BaseRelatórioGeral[[#This Row],[Data OB Pgto Fornecedor]])))),"")</f>
        <v>11-2025</v>
      </c>
      <c r="AW38" s="42">
        <f>BaseRelatórioGeral[[#This Row],[IR]]+BaseRelatórioGeral[[#This Row],[AGREGADO]]+BaseRelatórioGeral[[#This Row],[CSLL]]+BaseRelatórioGeral[[#This Row],[PIS/PASEP]]+BaseRelatórioGeral[[#This Row],[COFINS]]</f>
        <v>3958.63</v>
      </c>
      <c r="AX38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38" s="42" t="str">
        <f>BaseRelatórioGeral[[#This Row],[UG Pagadora]]</f>
        <v>302122</v>
      </c>
      <c r="AZ38" s="42" t="b">
        <f>BaseRelatórioGeral[[#This Row],[Recolhedor Darf]]=BaseRelatórioGeral[[#This Row],[Credor]]</f>
        <v>1</v>
      </c>
      <c r="BA38" s="25" t="str">
        <f>IF(BaseRelatórioGeral[[#This Row],[Conferência de Alíquota]]="AmparadaporMedidaJudicial","OK","Correto")</f>
        <v>Correto</v>
      </c>
      <c r="BB38" s="25" t="str">
        <f>IF(BaseRelatórioGeral[[#This Row],[Conferência de Alíquota]]="AmparadaporMedidaJudicial","AmparadaporMedidaJudicial","Ok")</f>
        <v>Ok</v>
      </c>
    </row>
    <row r="39" spans="5:54" x14ac:dyDescent="0.3">
      <c r="E39" t="s">
        <v>137</v>
      </c>
      <c r="F39" t="s">
        <v>63</v>
      </c>
      <c r="G39" s="2" t="s">
        <v>64</v>
      </c>
      <c r="H39" s="2" t="s">
        <v>64</v>
      </c>
      <c r="I39" s="12" t="s">
        <v>71</v>
      </c>
      <c r="J39" s="12" t="s">
        <v>71</v>
      </c>
      <c r="K39" s="2" t="s">
        <v>65</v>
      </c>
      <c r="L39" s="2" t="s">
        <v>138</v>
      </c>
      <c r="M39" s="40">
        <v>45982</v>
      </c>
      <c r="N39" s="2" t="s">
        <v>57</v>
      </c>
      <c r="O39" s="12">
        <v>17033</v>
      </c>
      <c r="P39" t="s">
        <v>73</v>
      </c>
      <c r="Q39" s="2" t="s">
        <v>74</v>
      </c>
      <c r="R39" t="s">
        <v>66</v>
      </c>
      <c r="S39">
        <v>20983.33</v>
      </c>
      <c r="T39" s="11">
        <v>1982.92</v>
      </c>
      <c r="U39" s="49" t="s">
        <v>75</v>
      </c>
      <c r="V39" s="47" t="s">
        <v>139</v>
      </c>
      <c r="W39" s="46">
        <v>20983.33</v>
      </c>
      <c r="X39" t="s">
        <v>67</v>
      </c>
      <c r="Y39" s="2" t="s">
        <v>140</v>
      </c>
      <c r="Z39" s="41">
        <v>45982</v>
      </c>
      <c r="AA39" t="s">
        <v>141</v>
      </c>
      <c r="AB39" t="s">
        <v>138</v>
      </c>
      <c r="AC39" t="s">
        <v>142</v>
      </c>
      <c r="AD39" s="10" t="s">
        <v>67</v>
      </c>
      <c r="AE39" s="2" t="s">
        <v>68</v>
      </c>
      <c r="AF39" s="12" t="s">
        <v>68</v>
      </c>
      <c r="AG39" s="2" t="s">
        <v>68</v>
      </c>
      <c r="AH39"/>
      <c r="AI39">
        <v>1982.92</v>
      </c>
      <c r="AJ39"/>
      <c r="AK39"/>
      <c r="AL39"/>
      <c r="AM39" t="b">
        <v>0</v>
      </c>
      <c r="AN39" t="s">
        <v>29</v>
      </c>
      <c r="AO39" s="12">
        <v>6190</v>
      </c>
      <c r="AP39" t="s">
        <v>69</v>
      </c>
      <c r="AQ39" t="b">
        <v>1</v>
      </c>
      <c r="AR39" s="1" t="s">
        <v>186</v>
      </c>
      <c r="AS39" t="b">
        <v>1</v>
      </c>
      <c r="AT39">
        <v>23</v>
      </c>
      <c r="AU39" s="50" t="str">
        <f t="array" ref="AU39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39" s="42" t="str">
        <f>IFERROR((CONCATENATE((MONTH(BaseRelatórioGeral[[#This Row],[Mês Pgto Fornecedor]])),"-",(YEAR(BaseRelatórioGeral[[#This Row],[Data OB Pgto Fornecedor]])))),"")</f>
        <v>11-2025</v>
      </c>
      <c r="AW39" s="42">
        <f>BaseRelatórioGeral[[#This Row],[IR]]+BaseRelatórioGeral[[#This Row],[AGREGADO]]+BaseRelatórioGeral[[#This Row],[CSLL]]+BaseRelatórioGeral[[#This Row],[PIS/PASEP]]+BaseRelatórioGeral[[#This Row],[COFINS]]</f>
        <v>1982.92</v>
      </c>
      <c r="AX39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39" s="42" t="str">
        <f>BaseRelatórioGeral[[#This Row],[UG Pagadora]]</f>
        <v>302122</v>
      </c>
      <c r="AZ39" s="42" t="b">
        <f>BaseRelatórioGeral[[#This Row],[Recolhedor Darf]]=BaseRelatórioGeral[[#This Row],[Credor]]</f>
        <v>1</v>
      </c>
      <c r="BA39" s="25" t="str">
        <f>IF(BaseRelatórioGeral[[#This Row],[Conferência de Alíquota]]="AmparadaporMedidaJudicial","OK","Correto")</f>
        <v>Correto</v>
      </c>
      <c r="BB39" s="25" t="str">
        <f>IF(BaseRelatórioGeral[[#This Row],[Conferência de Alíquota]]="AmparadaporMedidaJudicial","AmparadaporMedidaJudicial","Ok")</f>
        <v>Ok</v>
      </c>
    </row>
    <row r="40" spans="5:54" x14ac:dyDescent="0.3">
      <c r="E40" t="s">
        <v>131</v>
      </c>
      <c r="F40" t="s">
        <v>63</v>
      </c>
      <c r="G40" s="2" t="s">
        <v>64</v>
      </c>
      <c r="H40" s="2" t="s">
        <v>64</v>
      </c>
      <c r="I40" s="12" t="s">
        <v>71</v>
      </c>
      <c r="J40" s="12" t="s">
        <v>71</v>
      </c>
      <c r="K40" s="2" t="s">
        <v>65</v>
      </c>
      <c r="L40" s="2" t="s">
        <v>132</v>
      </c>
      <c r="M40" s="40">
        <v>45982</v>
      </c>
      <c r="N40" s="2" t="s">
        <v>57</v>
      </c>
      <c r="O40" s="12">
        <v>17099</v>
      </c>
      <c r="P40" t="s">
        <v>73</v>
      </c>
      <c r="Q40" s="2" t="s">
        <v>74</v>
      </c>
      <c r="R40" t="s">
        <v>66</v>
      </c>
      <c r="S40">
        <v>21534.720000000001</v>
      </c>
      <c r="T40" s="11">
        <v>2035.03</v>
      </c>
      <c r="U40" s="49" t="s">
        <v>75</v>
      </c>
      <c r="V40" s="47" t="s">
        <v>133</v>
      </c>
      <c r="W40" s="46">
        <v>16706.72</v>
      </c>
      <c r="X40" t="s">
        <v>67</v>
      </c>
      <c r="Y40" s="2" t="s">
        <v>134</v>
      </c>
      <c r="Z40" s="41">
        <v>45985</v>
      </c>
      <c r="AA40" t="s">
        <v>135</v>
      </c>
      <c r="AB40" t="s">
        <v>132</v>
      </c>
      <c r="AC40" t="s">
        <v>136</v>
      </c>
      <c r="AD40" s="10" t="s">
        <v>67</v>
      </c>
      <c r="AE40" s="2" t="s">
        <v>68</v>
      </c>
      <c r="AF40" s="12" t="s">
        <v>68</v>
      </c>
      <c r="AG40" s="2" t="s">
        <v>68</v>
      </c>
      <c r="AH40"/>
      <c r="AI40">
        <v>2035.03</v>
      </c>
      <c r="AJ40"/>
      <c r="AK40"/>
      <c r="AL40"/>
      <c r="AM40" t="b">
        <v>0</v>
      </c>
      <c r="AN40" t="s">
        <v>29</v>
      </c>
      <c r="AO40" s="12">
        <v>6190</v>
      </c>
      <c r="AP40" t="s">
        <v>83</v>
      </c>
      <c r="AQ40" t="b">
        <v>1</v>
      </c>
      <c r="AR40" s="1" t="s">
        <v>186</v>
      </c>
      <c r="AS40" t="b">
        <v>1</v>
      </c>
      <c r="AT40">
        <v>18</v>
      </c>
      <c r="AU40" s="50" t="str">
        <f t="array" ref="AU40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40" s="42" t="str">
        <f>IFERROR((CONCATENATE((MONTH(BaseRelatórioGeral[[#This Row],[Mês Pgto Fornecedor]])),"-",(YEAR(BaseRelatórioGeral[[#This Row],[Data OB Pgto Fornecedor]])))),"")</f>
        <v>11-2025</v>
      </c>
      <c r="AW40" s="42">
        <f>BaseRelatórioGeral[[#This Row],[IR]]+BaseRelatórioGeral[[#This Row],[AGREGADO]]+BaseRelatórioGeral[[#This Row],[CSLL]]+BaseRelatórioGeral[[#This Row],[PIS/PASEP]]+BaseRelatórioGeral[[#This Row],[COFINS]]</f>
        <v>2035.03</v>
      </c>
      <c r="AX40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40" s="42" t="str">
        <f>BaseRelatórioGeral[[#This Row],[UG Pagadora]]</f>
        <v>302122</v>
      </c>
      <c r="AZ40" s="42" t="b">
        <f>BaseRelatórioGeral[[#This Row],[Recolhedor Darf]]=BaseRelatórioGeral[[#This Row],[Credor]]</f>
        <v>1</v>
      </c>
      <c r="BA40" s="25" t="str">
        <f>IF(BaseRelatórioGeral[[#This Row],[Conferência de Alíquota]]="AmparadaporMedidaJudicial","OK","Correto")</f>
        <v>Correto</v>
      </c>
      <c r="BB40" s="25" t="str">
        <f>IF(BaseRelatórioGeral[[#This Row],[Conferência de Alíquota]]="AmparadaporMedidaJudicial","AmparadaporMedidaJudicial","Ok")</f>
        <v>Ok</v>
      </c>
    </row>
    <row r="41" spans="5:54" x14ac:dyDescent="0.3">
      <c r="E41" t="s">
        <v>115</v>
      </c>
      <c r="F41" t="s">
        <v>63</v>
      </c>
      <c r="G41" s="2" t="s">
        <v>64</v>
      </c>
      <c r="H41" s="2" t="s">
        <v>64</v>
      </c>
      <c r="I41" s="12" t="s">
        <v>71</v>
      </c>
      <c r="J41" s="12" t="s">
        <v>71</v>
      </c>
      <c r="K41" s="2" t="s">
        <v>65</v>
      </c>
      <c r="L41" s="61">
        <v>10460783000140</v>
      </c>
      <c r="M41" s="40">
        <v>45988</v>
      </c>
      <c r="N41" s="2" t="s">
        <v>57</v>
      </c>
      <c r="O41" s="12">
        <v>17099</v>
      </c>
      <c r="P41" t="s">
        <v>73</v>
      </c>
      <c r="Q41" s="2" t="s">
        <v>74</v>
      </c>
      <c r="R41" t="s">
        <v>66</v>
      </c>
      <c r="S41">
        <v>36238.300000000003</v>
      </c>
      <c r="T41" s="11">
        <v>3424.52</v>
      </c>
      <c r="U41" s="49" t="s">
        <v>75</v>
      </c>
      <c r="V41" s="47" t="s">
        <v>116</v>
      </c>
      <c r="W41" s="46">
        <v>36238.300000000003</v>
      </c>
      <c r="X41" t="s">
        <v>67</v>
      </c>
      <c r="Y41" s="2" t="s">
        <v>117</v>
      </c>
      <c r="Z41" s="41">
        <v>45989</v>
      </c>
      <c r="AA41" t="s">
        <v>118</v>
      </c>
      <c r="AB41" s="57">
        <v>10460783000140</v>
      </c>
      <c r="AC41" t="s">
        <v>197</v>
      </c>
      <c r="AD41" s="10" t="s">
        <v>67</v>
      </c>
      <c r="AE41" s="2" t="s">
        <v>68</v>
      </c>
      <c r="AF41" s="12" t="s">
        <v>68</v>
      </c>
      <c r="AG41" s="2" t="s">
        <v>68</v>
      </c>
      <c r="AH41"/>
      <c r="AI41">
        <v>3424.52</v>
      </c>
      <c r="AJ41"/>
      <c r="AK41"/>
      <c r="AL41"/>
      <c r="AM41" t="b">
        <v>0</v>
      </c>
      <c r="AN41" t="s">
        <v>29</v>
      </c>
      <c r="AO41" s="12">
        <v>6190</v>
      </c>
      <c r="AP41" t="s">
        <v>83</v>
      </c>
      <c r="AQ41" t="b">
        <v>1</v>
      </c>
      <c r="AR41" s="1" t="s">
        <v>186</v>
      </c>
      <c r="AS41" t="b">
        <v>1</v>
      </c>
      <c r="AT41">
        <v>17</v>
      </c>
      <c r="AU41" s="50" t="str">
        <f t="array" ref="AU41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41" s="42" t="str">
        <f>IFERROR((CONCATENATE((MONTH(BaseRelatórioGeral[[#This Row],[Mês Pgto Fornecedor]])),"-",(YEAR(BaseRelatórioGeral[[#This Row],[Data OB Pgto Fornecedor]])))),"")</f>
        <v>11-2025</v>
      </c>
      <c r="AW41" s="42">
        <f>BaseRelatórioGeral[[#This Row],[IR]]+BaseRelatórioGeral[[#This Row],[AGREGADO]]+BaseRelatórioGeral[[#This Row],[CSLL]]+BaseRelatórioGeral[[#This Row],[PIS/PASEP]]+BaseRelatórioGeral[[#This Row],[COFINS]]</f>
        <v>3424.52</v>
      </c>
      <c r="AX41" s="42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41" s="42" t="str">
        <f>BaseRelatórioGeral[[#This Row],[UG Pagadora]]</f>
        <v>302122</v>
      </c>
      <c r="AZ41" s="42" t="b">
        <f>BaseRelatórioGeral[[#This Row],[Recolhedor Darf]]=BaseRelatórioGeral[[#This Row],[Credor]]</f>
        <v>1</v>
      </c>
      <c r="BA41" s="25" t="str">
        <f>IF(BaseRelatórioGeral[[#This Row],[Conferência de Alíquota]]="AmparadaporMedidaJudicial","OK","Correto")</f>
        <v>Correto</v>
      </c>
      <c r="BB41" s="25" t="str">
        <f>IF(BaseRelatórioGeral[[#This Row],[Conferência de Alíquota]]="AmparadaporMedidaJudicial","AmparadaporMedidaJudicial","Ok")</f>
        <v>Ok</v>
      </c>
    </row>
    <row r="42" spans="5:54" x14ac:dyDescent="0.3">
      <c r="E42" t="s">
        <v>180</v>
      </c>
      <c r="F42" t="s">
        <v>63</v>
      </c>
      <c r="G42" s="2" t="s">
        <v>64</v>
      </c>
      <c r="H42" s="2" t="s">
        <v>64</v>
      </c>
      <c r="I42" s="12" t="s">
        <v>71</v>
      </c>
      <c r="J42" s="12" t="s">
        <v>71</v>
      </c>
      <c r="K42" s="2" t="s">
        <v>65</v>
      </c>
      <c r="L42" s="61">
        <v>30809465000159</v>
      </c>
      <c r="M42" s="40">
        <v>45978</v>
      </c>
      <c r="N42" s="2" t="s">
        <v>57</v>
      </c>
      <c r="O42" s="12">
        <v>17035</v>
      </c>
      <c r="P42" t="s">
        <v>73</v>
      </c>
      <c r="Q42" s="2" t="s">
        <v>74</v>
      </c>
      <c r="R42"/>
      <c r="S42">
        <v>70000</v>
      </c>
      <c r="T42" s="11">
        <v>6615</v>
      </c>
      <c r="U42" s="49"/>
      <c r="V42" s="47" t="s">
        <v>182</v>
      </c>
      <c r="W42">
        <v>70000</v>
      </c>
      <c r="X42" t="s">
        <v>67</v>
      </c>
      <c r="Y42" s="2" t="s">
        <v>183</v>
      </c>
      <c r="Z42" s="41">
        <v>45978</v>
      </c>
      <c r="AA42" t="s">
        <v>184</v>
      </c>
      <c r="AB42" s="57">
        <v>30809465000159</v>
      </c>
      <c r="AC42" t="s">
        <v>198</v>
      </c>
      <c r="AD42" s="10" t="s">
        <v>67</v>
      </c>
      <c r="AE42" s="2" t="s">
        <v>68</v>
      </c>
      <c r="AF42" s="12" t="s">
        <v>68</v>
      </c>
      <c r="AG42" s="2" t="s">
        <v>68</v>
      </c>
      <c r="AH42"/>
      <c r="AI42">
        <v>6615</v>
      </c>
      <c r="AJ42"/>
      <c r="AK42"/>
      <c r="AL42"/>
      <c r="AM42" t="b">
        <v>0</v>
      </c>
      <c r="AN42" t="s">
        <v>29</v>
      </c>
      <c r="AO42" s="12">
        <v>6190</v>
      </c>
      <c r="AP42" t="s">
        <v>185</v>
      </c>
      <c r="AQ42" t="b">
        <v>1</v>
      </c>
      <c r="AR42" s="1" t="s">
        <v>186</v>
      </c>
      <c r="AS42" t="b">
        <v>1</v>
      </c>
      <c r="AT42">
        <v>34</v>
      </c>
      <c r="AU42" s="50" t="str">
        <f t="array" ref="AU42">_xlfn.IFS(BaseRelatórioGeral[[#This Row],[ID Prédoc]]="Fornecedor não foi pago","Correto",BaseRelatórioGeral[[#This Row],[ID Prédoc]]="Troca Data Pré-Doc para Mês EFDReinf","Incorreto",BaseRelatórioGeral[[#This Row],[ID Prédoc]]="Alterar Data Prédoc - Fornecedor Não foi Pago","Incorreto",BaseRelatórioGeral[[#This Row],[ID Prédoc]]="Data PréDoc OK","Correto",BaseRelatórioGeral[[#This Row],[ID Prédoc]]="Pré-Doc Sem Informação","Pré-Doc Sem Informação")</f>
        <v>Correto</v>
      </c>
      <c r="AV42" s="25" t="str">
        <f>IFERROR((CONCATENATE((MONTH(BaseRelatórioGeral[[#This Row],[Mês Pgto Fornecedor]])),"-",(YEAR(BaseRelatórioGeral[[#This Row],[Data OB Pgto Fornecedor]])))),"")</f>
        <v>11-2025</v>
      </c>
      <c r="AW42" s="25">
        <f>BaseRelatórioGeral[[#This Row],[IR]]+BaseRelatórioGeral[[#This Row],[AGREGADO]]+BaseRelatórioGeral[[#This Row],[CSLL]]+BaseRelatórioGeral[[#This Row],[PIS/PASEP]]+BaseRelatórioGeral[[#This Row],[COFINS]]</f>
        <v>6615</v>
      </c>
      <c r="AX42" s="25">
        <f>IFERROR((IF((ROUND((IFERROR((BaseRelatórioGeral[[#This Row],[Verificação de Base/Dedução]]-BaseRelatórioGeral[[#This Row],[Alíquota Tab.EFDReinf]]),BaseRelatórioGeral[[#This Row],[Alíquota Tab.EFDReinf]])),2))=0.01,0,IF((ROUND((IFERROR((BaseRelatórioGeral[[#This Row],[Verificação de Base/Dedução]]-BaseRelatórioGeral[[#This Row],[Alíquota Tab.EFDReinf]]),BaseRelatórioGeral[[#This Row],[Alíquota Tab.EFDReinf]])),2))=-0.01,0,(IFERROR((BaseRelatórioGeral[[#This Row],[Verificação de Base/Dedução]]-BaseRelatórioGeral[[#This Row],[Alíquota Tab.EFDReinf]]),BaseRelatórioGeral[[#This Row],[Alíquota Tab.EFDReinf]]))))),BaseRelatórioGeral[[#This Row],[Alíquota Tab.EFDReinf]])</f>
        <v>0</v>
      </c>
      <c r="AY42" s="25" t="str">
        <f>BaseRelatórioGeral[[#This Row],[UG Pagadora]]</f>
        <v>302122</v>
      </c>
      <c r="AZ42" s="42" t="b">
        <f>BaseRelatórioGeral[[#This Row],[Recolhedor Darf]]=BaseRelatórioGeral[[#This Row],[Credor]]</f>
        <v>1</v>
      </c>
      <c r="BA42" s="25" t="str">
        <f>IF(BaseRelatórioGeral[[#This Row],[Conferência de Alíquota]]="AmparadaporMedidaJudicial","OK","Correto")</f>
        <v>Correto</v>
      </c>
      <c r="BB42" s="25" t="str">
        <f>IF(BaseRelatórioGeral[[#This Row],[Conferência de Alíquota]]="AmparadaporMedidaJudicial","AmparadaporMedidaJudicial","Ok")</f>
        <v>Ok</v>
      </c>
    </row>
    <row r="43" spans="5:54" x14ac:dyDescent="0.3">
      <c r="E43" s="15" t="s">
        <v>24</v>
      </c>
      <c r="S43" s="15">
        <f>SUBTOTAL(109,BaseRelatórioGeral[Base de Cálculo Darf])</f>
        <v>772216.3899999999</v>
      </c>
      <c r="T43" s="27">
        <f>SUBTOTAL(109,BaseRelatórioGeral[Valor Receita Darf])</f>
        <v>69237.600000000006</v>
      </c>
      <c r="U43" s="15"/>
      <c r="V43"/>
      <c r="W43" s="46"/>
      <c r="X43" s="15"/>
      <c r="Y43" s="26"/>
      <c r="Z43" s="25"/>
      <c r="AB43" s="15"/>
      <c r="AC43" s="15"/>
      <c r="AD43" s="10"/>
      <c r="AF43" s="25"/>
      <c r="AG43" s="26"/>
      <c r="AH43" s="15">
        <f>SUBTOTAL(109,BaseRelatórioGeral[IR])</f>
        <v>385.88</v>
      </c>
      <c r="AI43" s="15">
        <f>SUBTOTAL(109,BaseRelatórioGeral[AGREGADO])</f>
        <v>68690.94</v>
      </c>
      <c r="AJ43" s="15">
        <f>SUBTOTAL(109,BaseRelatórioGeral[CSLL])</f>
        <v>160.78</v>
      </c>
      <c r="AK43" s="15">
        <f>SUBTOTAL(109,BaseRelatórioGeral[PIS/PASEP])</f>
        <v>0</v>
      </c>
      <c r="AL43" s="15">
        <f>SUBTOTAL(109,BaseRelatórioGeral[COFINS])</f>
        <v>0</v>
      </c>
      <c r="AM43" s="15"/>
      <c r="AP43" s="15"/>
      <c r="AR43" s="28"/>
      <c r="AU43" s="28">
        <f>SUBTOTAL(103,BaseRelatórioGeral[ID Verificação Prédoc])</f>
        <v>34</v>
      </c>
      <c r="AV43" s="25"/>
      <c r="AW43" s="25">
        <f>SUBTOTAL(109,BaseRelatórioGeral[Valor Darf Verificado])</f>
        <v>69237.600000000006</v>
      </c>
      <c r="AX43" s="25"/>
      <c r="AY43" s="25"/>
      <c r="AZ43" s="25"/>
      <c r="BA43" s="25"/>
      <c r="BB43" s="25"/>
    </row>
    <row r="44" spans="5:54" x14ac:dyDescent="0.3">
      <c r="AV44" s="15"/>
    </row>
    <row r="45" spans="5:54" x14ac:dyDescent="0.3">
      <c r="AV45" s="15"/>
    </row>
    <row r="46" spans="5:54" x14ac:dyDescent="0.3">
      <c r="AV46" s="15"/>
    </row>
    <row r="47" spans="5:54" x14ac:dyDescent="0.3">
      <c r="AI47" s="48">
        <v>503749.72</v>
      </c>
      <c r="AV47" s="15"/>
    </row>
    <row r="48" spans="5:54" x14ac:dyDescent="0.3">
      <c r="AV48" s="15"/>
    </row>
    <row r="49" spans="20:48" x14ac:dyDescent="0.3">
      <c r="AV49" s="15"/>
    </row>
    <row r="50" spans="20:48" x14ac:dyDescent="0.3">
      <c r="AV50" s="15"/>
    </row>
    <row r="51" spans="20:48" x14ac:dyDescent="0.3">
      <c r="AV51" s="15"/>
    </row>
    <row r="52" spans="20:48" x14ac:dyDescent="0.3">
      <c r="AV52" s="15"/>
    </row>
    <row r="53" spans="20:48" x14ac:dyDescent="0.3">
      <c r="AV53" s="15"/>
    </row>
    <row r="54" spans="20:48" x14ac:dyDescent="0.3">
      <c r="AC54" s="15"/>
      <c r="AV54" s="15"/>
    </row>
    <row r="55" spans="20:48" x14ac:dyDescent="0.3">
      <c r="AC55" s="15"/>
      <c r="AV55" s="15"/>
    </row>
    <row r="56" spans="20:48" x14ac:dyDescent="0.3">
      <c r="AC56" s="15"/>
      <c r="AV56" s="15"/>
    </row>
    <row r="57" spans="20:48" x14ac:dyDescent="0.3">
      <c r="T57" s="29">
        <v>0</v>
      </c>
      <c r="AC57" s="15"/>
      <c r="AV57" s="15"/>
    </row>
    <row r="58" spans="20:48" x14ac:dyDescent="0.3">
      <c r="AC58" s="15"/>
      <c r="AV58" s="15"/>
    </row>
    <row r="59" spans="20:48" x14ac:dyDescent="0.3">
      <c r="AC59" s="15"/>
      <c r="AV59" s="15"/>
    </row>
    <row r="60" spans="20:48" x14ac:dyDescent="0.3">
      <c r="AC60" s="15"/>
      <c r="AV60" s="15"/>
    </row>
    <row r="61" spans="20:48" x14ac:dyDescent="0.3">
      <c r="AC61" s="15"/>
      <c r="AV61" s="15"/>
    </row>
    <row r="62" spans="20:48" x14ac:dyDescent="0.3">
      <c r="AC62" s="15"/>
      <c r="AV62" s="15"/>
    </row>
    <row r="63" spans="20:48" x14ac:dyDescent="0.3">
      <c r="AC63" s="15"/>
      <c r="AV63" s="15"/>
    </row>
    <row r="64" spans="20:48" x14ac:dyDescent="0.3">
      <c r="AC64" s="15"/>
      <c r="AV64" s="15"/>
    </row>
    <row r="65" spans="29:48" x14ac:dyDescent="0.3">
      <c r="AC65" s="15"/>
      <c r="AV65" s="15"/>
    </row>
    <row r="66" spans="29:48" x14ac:dyDescent="0.3">
      <c r="AC66" s="15"/>
      <c r="AV66" s="15"/>
    </row>
    <row r="67" spans="29:48" x14ac:dyDescent="0.3">
      <c r="AC67" s="15"/>
      <c r="AV67" s="15"/>
    </row>
    <row r="68" spans="29:48" x14ac:dyDescent="0.3">
      <c r="AC68" s="15"/>
      <c r="AV68" s="15"/>
    </row>
    <row r="69" spans="29:48" x14ac:dyDescent="0.3">
      <c r="AC69" s="15"/>
      <c r="AV69" s="15"/>
    </row>
    <row r="70" spans="29:48" x14ac:dyDescent="0.3">
      <c r="AC70" s="15"/>
      <c r="AV70" s="15"/>
    </row>
    <row r="71" spans="29:48" x14ac:dyDescent="0.3">
      <c r="AC71" s="15"/>
      <c r="AV71" s="15"/>
    </row>
    <row r="72" spans="29:48" x14ac:dyDescent="0.3">
      <c r="AC72" s="15"/>
      <c r="AV72" s="15"/>
    </row>
    <row r="73" spans="29:48" x14ac:dyDescent="0.3">
      <c r="AC73" s="15"/>
      <c r="AV73" s="15"/>
    </row>
    <row r="74" spans="29:48" x14ac:dyDescent="0.3">
      <c r="AC74" s="15"/>
      <c r="AV74" s="15"/>
    </row>
    <row r="75" spans="29:48" x14ac:dyDescent="0.3">
      <c r="AC75" s="15"/>
      <c r="AV75" s="15"/>
    </row>
    <row r="76" spans="29:48" x14ac:dyDescent="0.3">
      <c r="AC76" s="15"/>
      <c r="AV76" s="15"/>
    </row>
    <row r="77" spans="29:48" x14ac:dyDescent="0.3">
      <c r="AC77" s="15"/>
      <c r="AV77" s="15"/>
    </row>
    <row r="78" spans="29:48" x14ac:dyDescent="0.3">
      <c r="AC78" s="15"/>
      <c r="AV78" s="15"/>
    </row>
    <row r="79" spans="29:48" x14ac:dyDescent="0.3">
      <c r="AC79" s="15"/>
      <c r="AV79" s="15"/>
    </row>
    <row r="80" spans="29:48" x14ac:dyDescent="0.3">
      <c r="AC80" s="15"/>
      <c r="AV80" s="15"/>
    </row>
    <row r="81" spans="29:48" x14ac:dyDescent="0.3">
      <c r="AC81" s="15"/>
      <c r="AV81" s="15"/>
    </row>
    <row r="82" spans="29:48" x14ac:dyDescent="0.3">
      <c r="AC82" s="15"/>
      <c r="AV82" s="15"/>
    </row>
    <row r="83" spans="29:48" x14ac:dyDescent="0.3">
      <c r="AC83" s="15"/>
      <c r="AV83" s="15"/>
    </row>
    <row r="84" spans="29:48" x14ac:dyDescent="0.3">
      <c r="AC84" s="15"/>
      <c r="AV84" s="15"/>
    </row>
    <row r="85" spans="29:48" x14ac:dyDescent="0.3">
      <c r="AC85" s="15"/>
      <c r="AV85" s="15"/>
    </row>
    <row r="86" spans="29:48" x14ac:dyDescent="0.3">
      <c r="AC86" s="15"/>
      <c r="AV86" s="15"/>
    </row>
    <row r="87" spans="29:48" x14ac:dyDescent="0.3">
      <c r="AC87" s="15"/>
      <c r="AV87" s="15"/>
    </row>
    <row r="88" spans="29:48" x14ac:dyDescent="0.3">
      <c r="AC88" s="15"/>
      <c r="AV88" s="15"/>
    </row>
    <row r="89" spans="29:48" x14ac:dyDescent="0.3">
      <c r="AC89" s="15"/>
      <c r="AV89" s="15"/>
    </row>
    <row r="90" spans="29:48" x14ac:dyDescent="0.3">
      <c r="AC90" s="15"/>
      <c r="AV90" s="15"/>
    </row>
    <row r="91" spans="29:48" x14ac:dyDescent="0.3">
      <c r="AC91" s="15"/>
      <c r="AV91" s="15"/>
    </row>
    <row r="92" spans="29:48" x14ac:dyDescent="0.3">
      <c r="AC92" s="15"/>
      <c r="AV92" s="15"/>
    </row>
    <row r="93" spans="29:48" x14ac:dyDescent="0.3">
      <c r="AC93" s="15"/>
      <c r="AV93" s="15"/>
    </row>
    <row r="94" spans="29:48" x14ac:dyDescent="0.3">
      <c r="AC94" s="15"/>
      <c r="AV94" s="15"/>
    </row>
    <row r="95" spans="29:48" x14ac:dyDescent="0.3">
      <c r="AC95" s="15"/>
      <c r="AV95" s="15"/>
    </row>
    <row r="96" spans="29:48" x14ac:dyDescent="0.3">
      <c r="AC96" s="15"/>
      <c r="AV96" s="15"/>
    </row>
    <row r="97" spans="29:48" x14ac:dyDescent="0.3">
      <c r="AC97" s="15"/>
      <c r="AV97" s="15"/>
    </row>
    <row r="98" spans="29:48" x14ac:dyDescent="0.3">
      <c r="AC98" s="15"/>
      <c r="AV98" s="15"/>
    </row>
    <row r="99" spans="29:48" x14ac:dyDescent="0.3">
      <c r="AC99" s="15"/>
      <c r="AV99" s="15"/>
    </row>
    <row r="100" spans="29:48" x14ac:dyDescent="0.3">
      <c r="AC100" s="15"/>
      <c r="AV100" s="15"/>
    </row>
    <row r="101" spans="29:48" x14ac:dyDescent="0.3">
      <c r="AC101" s="15"/>
      <c r="AV101" s="15"/>
    </row>
    <row r="102" spans="29:48" x14ac:dyDescent="0.3">
      <c r="AC102" s="15"/>
      <c r="AV102" s="15"/>
    </row>
    <row r="103" spans="29:48" x14ac:dyDescent="0.3">
      <c r="AC103" s="15"/>
      <c r="AV103" s="15"/>
    </row>
    <row r="104" spans="29:48" x14ac:dyDescent="0.3">
      <c r="AC104" s="15"/>
      <c r="AV104" s="15"/>
    </row>
    <row r="105" spans="29:48" x14ac:dyDescent="0.3">
      <c r="AC105" s="15"/>
      <c r="AV105" s="15"/>
    </row>
    <row r="106" spans="29:48" x14ac:dyDescent="0.3">
      <c r="AC106"/>
      <c r="AV106" s="15"/>
    </row>
    <row r="107" spans="29:48" x14ac:dyDescent="0.3">
      <c r="AC107"/>
      <c r="AV107" s="15"/>
    </row>
    <row r="108" spans="29:48" x14ac:dyDescent="0.3">
      <c r="AC108"/>
      <c r="AV108" s="15"/>
    </row>
    <row r="109" spans="29:48" x14ac:dyDescent="0.3">
      <c r="AC109"/>
      <c r="AV109" s="15"/>
    </row>
    <row r="110" spans="29:48" x14ac:dyDescent="0.3">
      <c r="AC110"/>
      <c r="AV110" s="15"/>
    </row>
    <row r="111" spans="29:48" x14ac:dyDescent="0.3">
      <c r="AC111"/>
      <c r="AV111" s="15"/>
    </row>
    <row r="112" spans="29:48" x14ac:dyDescent="0.3">
      <c r="AC112"/>
      <c r="AV112" s="15"/>
    </row>
    <row r="113" spans="29:48" x14ac:dyDescent="0.3">
      <c r="AC113"/>
      <c r="AV113" s="15"/>
    </row>
    <row r="114" spans="29:48" x14ac:dyDescent="0.3">
      <c r="AC114"/>
      <c r="AV114" s="15"/>
    </row>
    <row r="115" spans="29:48" x14ac:dyDescent="0.3">
      <c r="AC115"/>
      <c r="AV115" s="15"/>
    </row>
    <row r="116" spans="29:48" x14ac:dyDescent="0.3">
      <c r="AC116"/>
      <c r="AV116" s="15"/>
    </row>
    <row r="117" spans="29:48" x14ac:dyDescent="0.3">
      <c r="AC117"/>
      <c r="AV117" s="15"/>
    </row>
    <row r="118" spans="29:48" x14ac:dyDescent="0.3">
      <c r="AC118"/>
      <c r="AV118" s="15"/>
    </row>
    <row r="119" spans="29:48" x14ac:dyDescent="0.3">
      <c r="AC119"/>
      <c r="AV119" s="15"/>
    </row>
    <row r="120" spans="29:48" x14ac:dyDescent="0.3">
      <c r="AC120"/>
      <c r="AV120" s="15"/>
    </row>
    <row r="121" spans="29:48" x14ac:dyDescent="0.3">
      <c r="AC121"/>
      <c r="AV121" s="15"/>
    </row>
    <row r="122" spans="29:48" x14ac:dyDescent="0.3">
      <c r="AC122"/>
      <c r="AV122" s="15"/>
    </row>
    <row r="123" spans="29:48" x14ac:dyDescent="0.3">
      <c r="AC123"/>
      <c r="AV123" s="15"/>
    </row>
    <row r="124" spans="29:48" x14ac:dyDescent="0.3">
      <c r="AV124" s="15"/>
    </row>
    <row r="125" spans="29:48" x14ac:dyDescent="0.3">
      <c r="AV125" s="15"/>
    </row>
    <row r="126" spans="29:48" x14ac:dyDescent="0.3">
      <c r="AV126" s="15"/>
    </row>
    <row r="127" spans="29:48" x14ac:dyDescent="0.3">
      <c r="AV127" s="15"/>
    </row>
    <row r="128" spans="29:48" x14ac:dyDescent="0.3">
      <c r="AV128" s="15"/>
    </row>
    <row r="129" spans="48:48" x14ac:dyDescent="0.3">
      <c r="AV129" s="15"/>
    </row>
    <row r="130" spans="48:48" x14ac:dyDescent="0.3">
      <c r="AV130" s="15"/>
    </row>
    <row r="131" spans="48:48" x14ac:dyDescent="0.3">
      <c r="AV131" s="15"/>
    </row>
    <row r="132" spans="48:48" x14ac:dyDescent="0.3">
      <c r="AV132" s="15"/>
    </row>
    <row r="133" spans="48:48" x14ac:dyDescent="0.3">
      <c r="AV133" s="15"/>
    </row>
    <row r="134" spans="48:48" x14ac:dyDescent="0.3">
      <c r="AV134" s="15"/>
    </row>
    <row r="135" spans="48:48" x14ac:dyDescent="0.3">
      <c r="AV135" s="15"/>
    </row>
    <row r="136" spans="48:48" x14ac:dyDescent="0.3">
      <c r="AV136" s="15"/>
    </row>
    <row r="137" spans="48:48" x14ac:dyDescent="0.3">
      <c r="AV137" s="15"/>
    </row>
    <row r="138" spans="48:48" x14ac:dyDescent="0.3">
      <c r="AV138" s="15"/>
    </row>
    <row r="139" spans="48:48" x14ac:dyDescent="0.3">
      <c r="AV139" s="15"/>
    </row>
    <row r="140" spans="48:48" x14ac:dyDescent="0.3">
      <c r="AV140" s="15"/>
    </row>
    <row r="141" spans="48:48" x14ac:dyDescent="0.3">
      <c r="AV141" s="15"/>
    </row>
    <row r="142" spans="48:48" x14ac:dyDescent="0.3">
      <c r="AV142" s="15"/>
    </row>
    <row r="143" spans="48:48" x14ac:dyDescent="0.3">
      <c r="AV143" s="15"/>
    </row>
    <row r="144" spans="48:48" x14ac:dyDescent="0.3">
      <c r="AV144" s="15"/>
    </row>
    <row r="145" spans="48:48" x14ac:dyDescent="0.3">
      <c r="AV145" s="15"/>
    </row>
    <row r="146" spans="48:48" x14ac:dyDescent="0.3">
      <c r="AV146" s="15"/>
    </row>
    <row r="147" spans="48:48" x14ac:dyDescent="0.3">
      <c r="AV147" s="15"/>
    </row>
    <row r="148" spans="48:48" x14ac:dyDescent="0.3">
      <c r="AV148" s="15"/>
    </row>
    <row r="149" spans="48:48" x14ac:dyDescent="0.3">
      <c r="AV149" s="15"/>
    </row>
    <row r="150" spans="48:48" x14ac:dyDescent="0.3">
      <c r="AV150" s="15"/>
    </row>
    <row r="151" spans="48:48" x14ac:dyDescent="0.3">
      <c r="AV151" s="15"/>
    </row>
    <row r="152" spans="48:48" x14ac:dyDescent="0.3">
      <c r="AV152" s="15"/>
    </row>
    <row r="153" spans="48:48" x14ac:dyDescent="0.3">
      <c r="AV153" s="15"/>
    </row>
    <row r="154" spans="48:48" x14ac:dyDescent="0.3">
      <c r="AV154" s="15"/>
    </row>
    <row r="155" spans="48:48" x14ac:dyDescent="0.3">
      <c r="AV155" s="15"/>
    </row>
    <row r="156" spans="48:48" x14ac:dyDescent="0.3">
      <c r="AV156" s="15"/>
    </row>
    <row r="157" spans="48:48" x14ac:dyDescent="0.3">
      <c r="AV157" s="15"/>
    </row>
    <row r="158" spans="48:48" x14ac:dyDescent="0.3">
      <c r="AV158" s="15"/>
    </row>
    <row r="159" spans="48:48" x14ac:dyDescent="0.3">
      <c r="AV159" s="15"/>
    </row>
    <row r="160" spans="48:48" x14ac:dyDescent="0.3">
      <c r="AV160" s="15"/>
    </row>
    <row r="161" spans="48:48" x14ac:dyDescent="0.3">
      <c r="AV161" s="15"/>
    </row>
    <row r="162" spans="48:48" x14ac:dyDescent="0.3">
      <c r="AV162" s="15"/>
    </row>
    <row r="163" spans="48:48" x14ac:dyDescent="0.3">
      <c r="AV163" s="15"/>
    </row>
    <row r="164" spans="48:48" x14ac:dyDescent="0.3">
      <c r="AV164" s="15"/>
    </row>
    <row r="165" spans="48:48" x14ac:dyDescent="0.3">
      <c r="AV165" s="15"/>
    </row>
    <row r="166" spans="48:48" x14ac:dyDescent="0.3">
      <c r="AV166" s="15"/>
    </row>
    <row r="167" spans="48:48" x14ac:dyDescent="0.3">
      <c r="AV167" s="15"/>
    </row>
    <row r="168" spans="48:48" x14ac:dyDescent="0.3">
      <c r="AV168" s="15"/>
    </row>
    <row r="169" spans="48:48" x14ac:dyDescent="0.3">
      <c r="AV169" s="15"/>
    </row>
    <row r="170" spans="48:48" x14ac:dyDescent="0.3">
      <c r="AV170" s="15"/>
    </row>
    <row r="171" spans="48:48" x14ac:dyDescent="0.3">
      <c r="AV171" s="15"/>
    </row>
    <row r="172" spans="48:48" x14ac:dyDescent="0.3">
      <c r="AV172" s="15"/>
    </row>
    <row r="173" spans="48:48" x14ac:dyDescent="0.3">
      <c r="AV173" s="15"/>
    </row>
    <row r="174" spans="48:48" x14ac:dyDescent="0.3">
      <c r="AV174" s="15"/>
    </row>
    <row r="175" spans="48:48" x14ac:dyDescent="0.3">
      <c r="AV175" s="15"/>
    </row>
    <row r="176" spans="48:48" x14ac:dyDescent="0.3">
      <c r="AV176" s="15"/>
    </row>
    <row r="177" spans="48:48" x14ac:dyDescent="0.3">
      <c r="AV177" s="15"/>
    </row>
    <row r="178" spans="48:48" x14ac:dyDescent="0.3">
      <c r="AV178" s="15"/>
    </row>
    <row r="179" spans="48:48" x14ac:dyDescent="0.3">
      <c r="AV179" s="15"/>
    </row>
    <row r="180" spans="48:48" x14ac:dyDescent="0.3">
      <c r="AV180" s="15"/>
    </row>
    <row r="181" spans="48:48" x14ac:dyDescent="0.3">
      <c r="AV181" s="15"/>
    </row>
    <row r="182" spans="48:48" x14ac:dyDescent="0.3">
      <c r="AV182" s="15"/>
    </row>
    <row r="183" spans="48:48" x14ac:dyDescent="0.3">
      <c r="AV183" s="15"/>
    </row>
    <row r="184" spans="48:48" x14ac:dyDescent="0.3">
      <c r="AV184" s="15"/>
    </row>
    <row r="185" spans="48:48" x14ac:dyDescent="0.3">
      <c r="AV185" s="15"/>
    </row>
    <row r="186" spans="48:48" x14ac:dyDescent="0.3">
      <c r="AV186" s="15"/>
    </row>
    <row r="187" spans="48:48" x14ac:dyDescent="0.3">
      <c r="AV187" s="15"/>
    </row>
    <row r="188" spans="48:48" x14ac:dyDescent="0.3">
      <c r="AV188" s="15"/>
    </row>
    <row r="189" spans="48:48" x14ac:dyDescent="0.3">
      <c r="AV189" s="15"/>
    </row>
    <row r="190" spans="48:48" x14ac:dyDescent="0.3">
      <c r="AV190" s="15"/>
    </row>
    <row r="191" spans="48:48" x14ac:dyDescent="0.3">
      <c r="AV191" s="15"/>
    </row>
    <row r="192" spans="48:48" x14ac:dyDescent="0.3">
      <c r="AV192" s="15"/>
    </row>
    <row r="193" spans="48:48" x14ac:dyDescent="0.3">
      <c r="AV193" s="15"/>
    </row>
    <row r="194" spans="48:48" x14ac:dyDescent="0.3">
      <c r="AV194" s="15"/>
    </row>
    <row r="195" spans="48:48" x14ac:dyDescent="0.3">
      <c r="AV195" s="15"/>
    </row>
    <row r="196" spans="48:48" x14ac:dyDescent="0.3">
      <c r="AV196" s="15"/>
    </row>
    <row r="197" spans="48:48" x14ac:dyDescent="0.3">
      <c r="AV197" s="15"/>
    </row>
    <row r="198" spans="48:48" x14ac:dyDescent="0.3">
      <c r="AV198" s="15"/>
    </row>
    <row r="199" spans="48:48" x14ac:dyDescent="0.3">
      <c r="AV199" s="15"/>
    </row>
    <row r="200" spans="48:48" x14ac:dyDescent="0.3">
      <c r="AV200" s="15"/>
    </row>
    <row r="201" spans="48:48" x14ac:dyDescent="0.3">
      <c r="AV201" s="15"/>
    </row>
    <row r="202" spans="48:48" x14ac:dyDescent="0.3">
      <c r="AV202" s="15"/>
    </row>
    <row r="203" spans="48:48" x14ac:dyDescent="0.3">
      <c r="AV203" s="15"/>
    </row>
    <row r="204" spans="48:48" x14ac:dyDescent="0.3">
      <c r="AV204" s="15"/>
    </row>
    <row r="205" spans="48:48" x14ac:dyDescent="0.3">
      <c r="AV205" s="15"/>
    </row>
    <row r="206" spans="48:48" x14ac:dyDescent="0.3">
      <c r="AV206" s="15"/>
    </row>
    <row r="207" spans="48:48" x14ac:dyDescent="0.3">
      <c r="AV207" s="15"/>
    </row>
    <row r="208" spans="48:48" x14ac:dyDescent="0.3">
      <c r="AV208" s="15"/>
    </row>
    <row r="209" spans="48:48" x14ac:dyDescent="0.3">
      <c r="AV209" s="15"/>
    </row>
    <row r="210" spans="48:48" x14ac:dyDescent="0.3">
      <c r="AV210" s="15"/>
    </row>
    <row r="211" spans="48:48" x14ac:dyDescent="0.3">
      <c r="AV211" s="15"/>
    </row>
    <row r="212" spans="48:48" x14ac:dyDescent="0.3">
      <c r="AV212" s="15"/>
    </row>
    <row r="213" spans="48:48" x14ac:dyDescent="0.3">
      <c r="AV213" s="15"/>
    </row>
    <row r="214" spans="48:48" x14ac:dyDescent="0.3">
      <c r="AV214" s="15"/>
    </row>
    <row r="215" spans="48:48" x14ac:dyDescent="0.3">
      <c r="AV215" s="15"/>
    </row>
    <row r="216" spans="48:48" x14ac:dyDescent="0.3">
      <c r="AV216" s="15"/>
    </row>
    <row r="217" spans="48:48" x14ac:dyDescent="0.3">
      <c r="AV217" s="15"/>
    </row>
    <row r="218" spans="48:48" x14ac:dyDescent="0.3">
      <c r="AV218" s="15"/>
    </row>
    <row r="219" spans="48:48" x14ac:dyDescent="0.3">
      <c r="AV219" s="15"/>
    </row>
    <row r="220" spans="48:48" x14ac:dyDescent="0.3">
      <c r="AV220" s="15"/>
    </row>
    <row r="221" spans="48:48" x14ac:dyDescent="0.3">
      <c r="AV221" s="15"/>
    </row>
    <row r="222" spans="48:48" x14ac:dyDescent="0.3">
      <c r="AV222" s="15"/>
    </row>
    <row r="223" spans="48:48" x14ac:dyDescent="0.3">
      <c r="AV223" s="15"/>
    </row>
    <row r="224" spans="48:48" x14ac:dyDescent="0.3">
      <c r="AV224" s="15"/>
    </row>
    <row r="225" spans="48:48" x14ac:dyDescent="0.3">
      <c r="AV225" s="15"/>
    </row>
    <row r="226" spans="48:48" x14ac:dyDescent="0.3">
      <c r="AV226" s="15"/>
    </row>
    <row r="227" spans="48:48" x14ac:dyDescent="0.3">
      <c r="AV227" s="15"/>
    </row>
    <row r="228" spans="48:48" x14ac:dyDescent="0.3">
      <c r="AV228" s="15"/>
    </row>
    <row r="229" spans="48:48" x14ac:dyDescent="0.3">
      <c r="AV229" s="15"/>
    </row>
    <row r="230" spans="48:48" x14ac:dyDescent="0.3">
      <c r="AV230" s="15"/>
    </row>
    <row r="231" spans="48:48" x14ac:dyDescent="0.3">
      <c r="AV231" s="15"/>
    </row>
    <row r="232" spans="48:48" x14ac:dyDescent="0.3">
      <c r="AV232" s="15"/>
    </row>
    <row r="233" spans="48:48" x14ac:dyDescent="0.3">
      <c r="AV233" s="15"/>
    </row>
    <row r="234" spans="48:48" x14ac:dyDescent="0.3">
      <c r="AV234" s="15"/>
    </row>
    <row r="235" spans="48:48" x14ac:dyDescent="0.3">
      <c r="AV235" s="15"/>
    </row>
    <row r="236" spans="48:48" x14ac:dyDescent="0.3">
      <c r="AV236" s="15"/>
    </row>
    <row r="237" spans="48:48" x14ac:dyDescent="0.3">
      <c r="AV237" s="15"/>
    </row>
    <row r="238" spans="48:48" x14ac:dyDescent="0.3">
      <c r="AV238" s="15"/>
    </row>
    <row r="239" spans="48:48" x14ac:dyDescent="0.3">
      <c r="AV239" s="15"/>
    </row>
    <row r="240" spans="48:48" x14ac:dyDescent="0.3">
      <c r="AV240" s="15"/>
    </row>
    <row r="241" spans="48:48" x14ac:dyDescent="0.3">
      <c r="AV241" s="15"/>
    </row>
    <row r="242" spans="48:48" x14ac:dyDescent="0.3">
      <c r="AV242" s="15"/>
    </row>
    <row r="243" spans="48:48" x14ac:dyDescent="0.3">
      <c r="AV243" s="15"/>
    </row>
    <row r="244" spans="48:48" x14ac:dyDescent="0.3">
      <c r="AV244" s="15"/>
    </row>
    <row r="245" spans="48:48" x14ac:dyDescent="0.3">
      <c r="AV245" s="15"/>
    </row>
    <row r="246" spans="48:48" x14ac:dyDescent="0.3">
      <c r="AV246" s="15"/>
    </row>
    <row r="247" spans="48:48" x14ac:dyDescent="0.3">
      <c r="AV247" s="15"/>
    </row>
    <row r="248" spans="48:48" x14ac:dyDescent="0.3">
      <c r="AV248" s="15"/>
    </row>
    <row r="249" spans="48:48" x14ac:dyDescent="0.3">
      <c r="AV249" s="15"/>
    </row>
    <row r="250" spans="48:48" x14ac:dyDescent="0.3">
      <c r="AV250" s="15"/>
    </row>
    <row r="251" spans="48:48" x14ac:dyDescent="0.3">
      <c r="AV251" s="15"/>
    </row>
    <row r="252" spans="48:48" x14ac:dyDescent="0.3">
      <c r="AV252" s="15"/>
    </row>
    <row r="253" spans="48:48" x14ac:dyDescent="0.3">
      <c r="AV253" s="15"/>
    </row>
    <row r="254" spans="48:48" x14ac:dyDescent="0.3">
      <c r="AV254" s="15"/>
    </row>
    <row r="255" spans="48:48" x14ac:dyDescent="0.3">
      <c r="AV255" s="15"/>
    </row>
    <row r="256" spans="48:48" x14ac:dyDescent="0.3">
      <c r="AV256" s="15"/>
    </row>
    <row r="257" spans="48:48" x14ac:dyDescent="0.3">
      <c r="AV257" s="15"/>
    </row>
    <row r="258" spans="48:48" x14ac:dyDescent="0.3">
      <c r="AV258" s="15"/>
    </row>
    <row r="259" spans="48:48" x14ac:dyDescent="0.3">
      <c r="AV259" s="15"/>
    </row>
    <row r="260" spans="48:48" x14ac:dyDescent="0.3">
      <c r="AV260" s="15"/>
    </row>
    <row r="261" spans="48:48" x14ac:dyDescent="0.3">
      <c r="AV261" s="15"/>
    </row>
    <row r="262" spans="48:48" x14ac:dyDescent="0.3">
      <c r="AV262" s="15"/>
    </row>
    <row r="263" spans="48:48" x14ac:dyDescent="0.3">
      <c r="AV263" s="15"/>
    </row>
    <row r="264" spans="48:48" x14ac:dyDescent="0.3">
      <c r="AV264" s="15"/>
    </row>
    <row r="265" spans="48:48" x14ac:dyDescent="0.3">
      <c r="AV265" s="15"/>
    </row>
    <row r="266" spans="48:48" x14ac:dyDescent="0.3">
      <c r="AV266" s="15"/>
    </row>
    <row r="267" spans="48:48" x14ac:dyDescent="0.3">
      <c r="AV267" s="15"/>
    </row>
    <row r="268" spans="48:48" x14ac:dyDescent="0.3">
      <c r="AV268" s="15"/>
    </row>
    <row r="269" spans="48:48" x14ac:dyDescent="0.3">
      <c r="AV269" s="15"/>
    </row>
    <row r="270" spans="48:48" x14ac:dyDescent="0.3">
      <c r="AV270" s="15"/>
    </row>
    <row r="271" spans="48:48" x14ac:dyDescent="0.3">
      <c r="AV271" s="15"/>
    </row>
    <row r="272" spans="48:48" x14ac:dyDescent="0.3">
      <c r="AV272" s="15"/>
    </row>
    <row r="273" spans="48:48" x14ac:dyDescent="0.3">
      <c r="AV273" s="15"/>
    </row>
    <row r="274" spans="48:48" x14ac:dyDescent="0.3">
      <c r="AV274" s="15"/>
    </row>
    <row r="275" spans="48:48" x14ac:dyDescent="0.3">
      <c r="AV275" s="15"/>
    </row>
    <row r="276" spans="48:48" x14ac:dyDescent="0.3">
      <c r="AV276" s="15"/>
    </row>
    <row r="277" spans="48:48" x14ac:dyDescent="0.3">
      <c r="AV277" s="15"/>
    </row>
    <row r="278" spans="48:48" x14ac:dyDescent="0.3">
      <c r="AV278" s="15"/>
    </row>
    <row r="279" spans="48:48" x14ac:dyDescent="0.3">
      <c r="AV279" s="15"/>
    </row>
    <row r="280" spans="48:48" x14ac:dyDescent="0.3">
      <c r="AV280" s="15"/>
    </row>
    <row r="281" spans="48:48" x14ac:dyDescent="0.3">
      <c r="AV281" s="15"/>
    </row>
    <row r="282" spans="48:48" x14ac:dyDescent="0.3">
      <c r="AV282" s="15"/>
    </row>
    <row r="283" spans="48:48" x14ac:dyDescent="0.3">
      <c r="AV283" s="15"/>
    </row>
    <row r="284" spans="48:48" x14ac:dyDescent="0.3">
      <c r="AV284" s="15"/>
    </row>
    <row r="285" spans="48:48" x14ac:dyDescent="0.3">
      <c r="AV285" s="15"/>
    </row>
    <row r="286" spans="48:48" x14ac:dyDescent="0.3">
      <c r="AV286" s="15"/>
    </row>
    <row r="287" spans="48:48" x14ac:dyDescent="0.3">
      <c r="AV287" s="15"/>
    </row>
    <row r="288" spans="48:48" x14ac:dyDescent="0.3">
      <c r="AV288" s="15"/>
    </row>
    <row r="289" spans="48:48" x14ac:dyDescent="0.3">
      <c r="AV289" s="15"/>
    </row>
    <row r="290" spans="48:48" x14ac:dyDescent="0.3">
      <c r="AV290" s="15"/>
    </row>
    <row r="291" spans="48:48" x14ac:dyDescent="0.3">
      <c r="AV291" s="15"/>
    </row>
    <row r="292" spans="48:48" x14ac:dyDescent="0.3">
      <c r="AV292" s="15"/>
    </row>
    <row r="293" spans="48:48" x14ac:dyDescent="0.3">
      <c r="AV293" s="15"/>
    </row>
    <row r="294" spans="48:48" x14ac:dyDescent="0.3">
      <c r="AV294" s="15"/>
    </row>
    <row r="295" spans="48:48" x14ac:dyDescent="0.3">
      <c r="AV295" s="15"/>
    </row>
    <row r="296" spans="48:48" x14ac:dyDescent="0.3">
      <c r="AV296" s="15"/>
    </row>
    <row r="297" spans="48:48" x14ac:dyDescent="0.3">
      <c r="AV297" s="15"/>
    </row>
    <row r="298" spans="48:48" x14ac:dyDescent="0.3">
      <c r="AV298" s="15"/>
    </row>
    <row r="299" spans="48:48" x14ac:dyDescent="0.3">
      <c r="AV299" s="15"/>
    </row>
    <row r="300" spans="48:48" x14ac:dyDescent="0.3">
      <c r="AV300" s="15"/>
    </row>
    <row r="301" spans="48:48" x14ac:dyDescent="0.3">
      <c r="AV301" s="15"/>
    </row>
    <row r="302" spans="48:48" x14ac:dyDescent="0.3">
      <c r="AV302" s="15"/>
    </row>
    <row r="303" spans="48:48" x14ac:dyDescent="0.3">
      <c r="AV303" s="15"/>
    </row>
    <row r="304" spans="48:48" x14ac:dyDescent="0.3">
      <c r="AV304" s="15"/>
    </row>
    <row r="305" spans="48:48" x14ac:dyDescent="0.3">
      <c r="AV305" s="15"/>
    </row>
    <row r="306" spans="48:48" x14ac:dyDescent="0.3">
      <c r="AV306" s="15"/>
    </row>
    <row r="307" spans="48:48" x14ac:dyDescent="0.3">
      <c r="AV307" s="15"/>
    </row>
    <row r="308" spans="48:48" x14ac:dyDescent="0.3">
      <c r="AV308" s="15"/>
    </row>
    <row r="309" spans="48:48" x14ac:dyDescent="0.3">
      <c r="AV309" s="15"/>
    </row>
    <row r="310" spans="48:48" x14ac:dyDescent="0.3">
      <c r="AV310" s="15"/>
    </row>
    <row r="311" spans="48:48" x14ac:dyDescent="0.3">
      <c r="AV311" s="15"/>
    </row>
    <row r="312" spans="48:48" x14ac:dyDescent="0.3">
      <c r="AV312" s="15"/>
    </row>
    <row r="313" spans="48:48" x14ac:dyDescent="0.3">
      <c r="AV313" s="15"/>
    </row>
    <row r="314" spans="48:48" x14ac:dyDescent="0.3">
      <c r="AV314" s="15"/>
    </row>
    <row r="315" spans="48:48" x14ac:dyDescent="0.3">
      <c r="AV315" s="15"/>
    </row>
    <row r="316" spans="48:48" x14ac:dyDescent="0.3">
      <c r="AV316" s="15"/>
    </row>
    <row r="317" spans="48:48" x14ac:dyDescent="0.3">
      <c r="AV317" s="15"/>
    </row>
    <row r="318" spans="48:48" x14ac:dyDescent="0.3">
      <c r="AV318" s="15"/>
    </row>
    <row r="319" spans="48:48" x14ac:dyDescent="0.3">
      <c r="AV319" s="15"/>
    </row>
    <row r="320" spans="48:48" x14ac:dyDescent="0.3">
      <c r="AV320" s="15"/>
    </row>
    <row r="321" spans="48:48" x14ac:dyDescent="0.3">
      <c r="AV321" s="15"/>
    </row>
    <row r="322" spans="48:48" x14ac:dyDescent="0.3">
      <c r="AV322" s="15"/>
    </row>
    <row r="323" spans="48:48" x14ac:dyDescent="0.3">
      <c r="AV323" s="15"/>
    </row>
    <row r="324" spans="48:48" x14ac:dyDescent="0.3">
      <c r="AV324" s="15"/>
    </row>
    <row r="325" spans="48:48" x14ac:dyDescent="0.3">
      <c r="AV325" s="15"/>
    </row>
    <row r="326" spans="48:48" x14ac:dyDescent="0.3">
      <c r="AV326" s="15"/>
    </row>
    <row r="327" spans="48:48" x14ac:dyDescent="0.3">
      <c r="AV327" s="15"/>
    </row>
    <row r="328" spans="48:48" x14ac:dyDescent="0.3">
      <c r="AV328" s="15"/>
    </row>
    <row r="329" spans="48:48" x14ac:dyDescent="0.3">
      <c r="AV329" s="15"/>
    </row>
    <row r="330" spans="48:48" x14ac:dyDescent="0.3">
      <c r="AV330" s="15"/>
    </row>
    <row r="331" spans="48:48" x14ac:dyDescent="0.3">
      <c r="AV331" s="15"/>
    </row>
    <row r="332" spans="48:48" x14ac:dyDescent="0.3">
      <c r="AV332" s="15"/>
    </row>
    <row r="333" spans="48:48" x14ac:dyDescent="0.3">
      <c r="AV333" s="15"/>
    </row>
    <row r="334" spans="48:48" x14ac:dyDescent="0.3">
      <c r="AV334" s="15"/>
    </row>
    <row r="335" spans="48:48" x14ac:dyDescent="0.3">
      <c r="AV335" s="15"/>
    </row>
    <row r="336" spans="48:48" x14ac:dyDescent="0.3">
      <c r="AV336" s="15"/>
    </row>
    <row r="337" spans="48:48" x14ac:dyDescent="0.3">
      <c r="AV337" s="15"/>
    </row>
    <row r="338" spans="48:48" x14ac:dyDescent="0.3">
      <c r="AV338" s="15"/>
    </row>
    <row r="339" spans="48:48" x14ac:dyDescent="0.3">
      <c r="AV339" s="15"/>
    </row>
    <row r="340" spans="48:48" x14ac:dyDescent="0.3">
      <c r="AV340" s="15"/>
    </row>
    <row r="341" spans="48:48" x14ac:dyDescent="0.3">
      <c r="AV341" s="15"/>
    </row>
    <row r="342" spans="48:48" x14ac:dyDescent="0.3">
      <c r="AV342" s="15"/>
    </row>
    <row r="343" spans="48:48" x14ac:dyDescent="0.3">
      <c r="AV343" s="15"/>
    </row>
    <row r="344" spans="48:48" x14ac:dyDescent="0.3">
      <c r="AV344" s="15"/>
    </row>
    <row r="345" spans="48:48" x14ac:dyDescent="0.3">
      <c r="AV345" s="15"/>
    </row>
    <row r="346" spans="48:48" x14ac:dyDescent="0.3">
      <c r="AV346" s="15"/>
    </row>
    <row r="347" spans="48:48" x14ac:dyDescent="0.3">
      <c r="AV347" s="15"/>
    </row>
    <row r="348" spans="48:48" x14ac:dyDescent="0.3">
      <c r="AV348" s="15"/>
    </row>
    <row r="349" spans="48:48" x14ac:dyDescent="0.3">
      <c r="AV349" s="15"/>
    </row>
    <row r="350" spans="48:48" x14ac:dyDescent="0.3">
      <c r="AV350" s="15"/>
    </row>
    <row r="351" spans="48:48" x14ac:dyDescent="0.3">
      <c r="AV351" s="15"/>
    </row>
    <row r="352" spans="48:48" x14ac:dyDescent="0.3">
      <c r="AV352" s="15"/>
    </row>
    <row r="353" spans="48:48" x14ac:dyDescent="0.3">
      <c r="AV353" s="15"/>
    </row>
    <row r="354" spans="48:48" x14ac:dyDescent="0.3">
      <c r="AV354" s="15"/>
    </row>
    <row r="355" spans="48:48" x14ac:dyDescent="0.3">
      <c r="AV355" s="15"/>
    </row>
    <row r="356" spans="48:48" x14ac:dyDescent="0.3">
      <c r="AV356" s="15"/>
    </row>
    <row r="357" spans="48:48" x14ac:dyDescent="0.3">
      <c r="AV357" s="15"/>
    </row>
    <row r="358" spans="48:48" x14ac:dyDescent="0.3">
      <c r="AV358" s="15"/>
    </row>
    <row r="359" spans="48:48" x14ac:dyDescent="0.3">
      <c r="AV359" s="15"/>
    </row>
    <row r="360" spans="48:48" x14ac:dyDescent="0.3">
      <c r="AV360" s="15"/>
    </row>
    <row r="361" spans="48:48" x14ac:dyDescent="0.3">
      <c r="AV361" s="15"/>
    </row>
    <row r="362" spans="48:48" x14ac:dyDescent="0.3">
      <c r="AV362" s="15"/>
    </row>
    <row r="363" spans="48:48" x14ac:dyDescent="0.3">
      <c r="AV363" s="15"/>
    </row>
    <row r="364" spans="48:48" x14ac:dyDescent="0.3">
      <c r="AV364" s="15"/>
    </row>
    <row r="365" spans="48:48" x14ac:dyDescent="0.3">
      <c r="AV365" s="15"/>
    </row>
    <row r="366" spans="48:48" x14ac:dyDescent="0.3">
      <c r="AV366" s="15"/>
    </row>
    <row r="367" spans="48:48" x14ac:dyDescent="0.3">
      <c r="AV367" s="15"/>
    </row>
    <row r="368" spans="48:48" x14ac:dyDescent="0.3">
      <c r="AV368" s="15"/>
    </row>
    <row r="369" spans="48:48" x14ac:dyDescent="0.3">
      <c r="AV369" s="15"/>
    </row>
    <row r="370" spans="48:48" x14ac:dyDescent="0.3">
      <c r="AV370" s="15"/>
    </row>
    <row r="371" spans="48:48" x14ac:dyDescent="0.3">
      <c r="AV371" s="15"/>
    </row>
    <row r="372" spans="48:48" x14ac:dyDescent="0.3">
      <c r="AV372" s="15"/>
    </row>
    <row r="373" spans="48:48" x14ac:dyDescent="0.3">
      <c r="AV373" s="15"/>
    </row>
    <row r="374" spans="48:48" x14ac:dyDescent="0.3">
      <c r="AV374" s="15"/>
    </row>
    <row r="375" spans="48:48" x14ac:dyDescent="0.3">
      <c r="AV375" s="15"/>
    </row>
    <row r="376" spans="48:48" x14ac:dyDescent="0.3">
      <c r="AV376" s="15"/>
    </row>
    <row r="377" spans="48:48" x14ac:dyDescent="0.3">
      <c r="AV377" s="15"/>
    </row>
    <row r="378" spans="48:48" x14ac:dyDescent="0.3">
      <c r="AV378" s="15"/>
    </row>
    <row r="379" spans="48:48" x14ac:dyDescent="0.3">
      <c r="AV379" s="15"/>
    </row>
    <row r="380" spans="48:48" x14ac:dyDescent="0.3">
      <c r="AV380" s="15"/>
    </row>
    <row r="381" spans="48:48" x14ac:dyDescent="0.3">
      <c r="AV381" s="15"/>
    </row>
    <row r="382" spans="48:48" x14ac:dyDescent="0.3">
      <c r="AV382" s="15"/>
    </row>
    <row r="383" spans="48:48" x14ac:dyDescent="0.3">
      <c r="AV383" s="15"/>
    </row>
    <row r="384" spans="48:48" x14ac:dyDescent="0.3">
      <c r="AV384" s="15"/>
    </row>
    <row r="385" spans="48:48" x14ac:dyDescent="0.3">
      <c r="AV385" s="15"/>
    </row>
    <row r="386" spans="48:48" x14ac:dyDescent="0.3">
      <c r="AV386" s="15"/>
    </row>
    <row r="387" spans="48:48" x14ac:dyDescent="0.3">
      <c r="AV387" s="15"/>
    </row>
    <row r="388" spans="48:48" x14ac:dyDescent="0.3">
      <c r="AV388" s="15"/>
    </row>
    <row r="389" spans="48:48" x14ac:dyDescent="0.3">
      <c r="AV389" s="15"/>
    </row>
    <row r="390" spans="48:48" x14ac:dyDescent="0.3">
      <c r="AV390" s="15"/>
    </row>
    <row r="391" spans="48:48" x14ac:dyDescent="0.3">
      <c r="AV391" s="15"/>
    </row>
    <row r="392" spans="48:48" x14ac:dyDescent="0.3">
      <c r="AV392" s="15"/>
    </row>
    <row r="393" spans="48:48" x14ac:dyDescent="0.3">
      <c r="AV393" s="15"/>
    </row>
    <row r="394" spans="48:48" x14ac:dyDescent="0.3">
      <c r="AV394" s="15"/>
    </row>
    <row r="395" spans="48:48" x14ac:dyDescent="0.3">
      <c r="AV395" s="15"/>
    </row>
    <row r="396" spans="48:48" x14ac:dyDescent="0.3">
      <c r="AV396" s="15"/>
    </row>
    <row r="397" spans="48:48" x14ac:dyDescent="0.3">
      <c r="AV397" s="15"/>
    </row>
    <row r="398" spans="48:48" x14ac:dyDescent="0.3">
      <c r="AV398" s="15"/>
    </row>
    <row r="399" spans="48:48" x14ac:dyDescent="0.3">
      <c r="AV399" s="15"/>
    </row>
    <row r="400" spans="48:48" x14ac:dyDescent="0.3">
      <c r="AV400" s="15"/>
    </row>
    <row r="401" spans="48:48" x14ac:dyDescent="0.3">
      <c r="AV401" s="15"/>
    </row>
    <row r="402" spans="48:48" x14ac:dyDescent="0.3">
      <c r="AV402" s="15"/>
    </row>
    <row r="403" spans="48:48" x14ac:dyDescent="0.3">
      <c r="AV403" s="15"/>
    </row>
    <row r="404" spans="48:48" x14ac:dyDescent="0.3">
      <c r="AV404" s="15"/>
    </row>
    <row r="405" spans="48:48" x14ac:dyDescent="0.3">
      <c r="AV405" s="15"/>
    </row>
    <row r="406" spans="48:48" x14ac:dyDescent="0.3">
      <c r="AV406" s="15"/>
    </row>
    <row r="407" spans="48:48" x14ac:dyDescent="0.3">
      <c r="AV407" s="15"/>
    </row>
    <row r="408" spans="48:48" x14ac:dyDescent="0.3">
      <c r="AV408" s="15"/>
    </row>
    <row r="409" spans="48:48" x14ac:dyDescent="0.3">
      <c r="AV409" s="15"/>
    </row>
    <row r="410" spans="48:48" x14ac:dyDescent="0.3">
      <c r="AV410" s="15"/>
    </row>
    <row r="411" spans="48:48" x14ac:dyDescent="0.3">
      <c r="AV411" s="15"/>
    </row>
    <row r="412" spans="48:48" x14ac:dyDescent="0.3">
      <c r="AV412" s="15"/>
    </row>
    <row r="413" spans="48:48" x14ac:dyDescent="0.3">
      <c r="AV413" s="15"/>
    </row>
    <row r="414" spans="48:48" x14ac:dyDescent="0.3">
      <c r="AV414" s="15"/>
    </row>
    <row r="415" spans="48:48" x14ac:dyDescent="0.3">
      <c r="AV415" s="15"/>
    </row>
    <row r="416" spans="48:48" x14ac:dyDescent="0.3">
      <c r="AV416" s="15"/>
    </row>
    <row r="417" spans="48:48" x14ac:dyDescent="0.3">
      <c r="AV417" s="15"/>
    </row>
    <row r="418" spans="48:48" x14ac:dyDescent="0.3">
      <c r="AV418" s="15"/>
    </row>
    <row r="419" spans="48:48" x14ac:dyDescent="0.3">
      <c r="AV419" s="15"/>
    </row>
    <row r="420" spans="48:48" x14ac:dyDescent="0.3">
      <c r="AV420" s="15"/>
    </row>
    <row r="421" spans="48:48" x14ac:dyDescent="0.3">
      <c r="AV421" s="15"/>
    </row>
    <row r="422" spans="48:48" x14ac:dyDescent="0.3">
      <c r="AV422" s="15"/>
    </row>
    <row r="423" spans="48:48" x14ac:dyDescent="0.3">
      <c r="AV423" s="15"/>
    </row>
    <row r="424" spans="48:48" x14ac:dyDescent="0.3">
      <c r="AV424" s="15"/>
    </row>
    <row r="425" spans="48:48" x14ac:dyDescent="0.3">
      <c r="AV425" s="15"/>
    </row>
    <row r="426" spans="48:48" x14ac:dyDescent="0.3">
      <c r="AV426" s="15"/>
    </row>
    <row r="427" spans="48:48" x14ac:dyDescent="0.3">
      <c r="AV427" s="15"/>
    </row>
    <row r="428" spans="48:48" x14ac:dyDescent="0.3">
      <c r="AV428" s="15"/>
    </row>
    <row r="429" spans="48:48" x14ac:dyDescent="0.3">
      <c r="AV429" s="15"/>
    </row>
    <row r="430" spans="48:48" x14ac:dyDescent="0.3">
      <c r="AV430" s="15"/>
    </row>
    <row r="431" spans="48:48" x14ac:dyDescent="0.3">
      <c r="AV431" s="15"/>
    </row>
    <row r="432" spans="48:48" x14ac:dyDescent="0.3">
      <c r="AV432" s="15"/>
    </row>
    <row r="433" spans="48:48" x14ac:dyDescent="0.3">
      <c r="AV433" s="15"/>
    </row>
    <row r="434" spans="48:48" x14ac:dyDescent="0.3">
      <c r="AV434" s="15"/>
    </row>
    <row r="435" spans="48:48" x14ac:dyDescent="0.3">
      <c r="AV435" s="15"/>
    </row>
    <row r="436" spans="48:48" x14ac:dyDescent="0.3">
      <c r="AV436" s="15"/>
    </row>
    <row r="437" spans="48:48" x14ac:dyDescent="0.3">
      <c r="AV437" s="15"/>
    </row>
    <row r="438" spans="48:48" x14ac:dyDescent="0.3">
      <c r="AV438" s="15"/>
    </row>
    <row r="439" spans="48:48" x14ac:dyDescent="0.3">
      <c r="AV439" s="15"/>
    </row>
    <row r="440" spans="48:48" x14ac:dyDescent="0.3">
      <c r="AV440" s="15"/>
    </row>
    <row r="441" spans="48:48" x14ac:dyDescent="0.3">
      <c r="AV441" s="15"/>
    </row>
    <row r="442" spans="48:48" x14ac:dyDescent="0.3">
      <c r="AV442" s="15"/>
    </row>
    <row r="443" spans="48:48" x14ac:dyDescent="0.3">
      <c r="AV443" s="15"/>
    </row>
    <row r="444" spans="48:48" x14ac:dyDescent="0.3">
      <c r="AV444" s="15"/>
    </row>
    <row r="445" spans="48:48" x14ac:dyDescent="0.3">
      <c r="AV445" s="15"/>
    </row>
    <row r="446" spans="48:48" x14ac:dyDescent="0.3">
      <c r="AV446" s="15"/>
    </row>
    <row r="447" spans="48:48" x14ac:dyDescent="0.3">
      <c r="AV447" s="15"/>
    </row>
    <row r="448" spans="48:48" x14ac:dyDescent="0.3">
      <c r="AV448" s="15"/>
    </row>
    <row r="449" spans="48:48" x14ac:dyDescent="0.3">
      <c r="AV449" s="15"/>
    </row>
    <row r="450" spans="48:48" x14ac:dyDescent="0.3">
      <c r="AV450" s="15"/>
    </row>
    <row r="451" spans="48:48" x14ac:dyDescent="0.3">
      <c r="AV451" s="15"/>
    </row>
    <row r="452" spans="48:48" x14ac:dyDescent="0.3">
      <c r="AV452" s="15"/>
    </row>
    <row r="453" spans="48:48" x14ac:dyDescent="0.3">
      <c r="AV453" s="15"/>
    </row>
    <row r="454" spans="48:48" x14ac:dyDescent="0.3">
      <c r="AV454" s="15"/>
    </row>
    <row r="455" spans="48:48" x14ac:dyDescent="0.3">
      <c r="AV455" s="15"/>
    </row>
    <row r="456" spans="48:48" x14ac:dyDescent="0.3">
      <c r="AV456" s="15"/>
    </row>
    <row r="457" spans="48:48" x14ac:dyDescent="0.3">
      <c r="AV457" s="15"/>
    </row>
    <row r="458" spans="48:48" x14ac:dyDescent="0.3">
      <c r="AV458" s="15"/>
    </row>
    <row r="459" spans="48:48" x14ac:dyDescent="0.3">
      <c r="AV459" s="15"/>
    </row>
    <row r="460" spans="48:48" x14ac:dyDescent="0.3">
      <c r="AV460" s="15"/>
    </row>
    <row r="461" spans="48:48" x14ac:dyDescent="0.3">
      <c r="AV461" s="15"/>
    </row>
    <row r="462" spans="48:48" x14ac:dyDescent="0.3">
      <c r="AV462" s="15"/>
    </row>
    <row r="463" spans="48:48" x14ac:dyDescent="0.3">
      <c r="AV463" s="15"/>
    </row>
    <row r="464" spans="48:48" x14ac:dyDescent="0.3">
      <c r="AV464" s="15"/>
    </row>
    <row r="465" spans="48:48" x14ac:dyDescent="0.3">
      <c r="AV465" s="15"/>
    </row>
    <row r="466" spans="48:48" x14ac:dyDescent="0.3">
      <c r="AV466" s="15"/>
    </row>
    <row r="467" spans="48:48" x14ac:dyDescent="0.3">
      <c r="AV467" s="15"/>
    </row>
    <row r="468" spans="48:48" x14ac:dyDescent="0.3">
      <c r="AV468" s="15"/>
    </row>
    <row r="469" spans="48:48" x14ac:dyDescent="0.3">
      <c r="AV469" s="15"/>
    </row>
    <row r="470" spans="48:48" x14ac:dyDescent="0.3">
      <c r="AV470" s="15"/>
    </row>
    <row r="471" spans="48:48" x14ac:dyDescent="0.3">
      <c r="AV471" s="15"/>
    </row>
    <row r="472" spans="48:48" x14ac:dyDescent="0.3">
      <c r="AV472" s="15"/>
    </row>
    <row r="473" spans="48:48" x14ac:dyDescent="0.3">
      <c r="AV473" s="15"/>
    </row>
    <row r="474" spans="48:48" x14ac:dyDescent="0.3">
      <c r="AV474" s="15"/>
    </row>
    <row r="475" spans="48:48" x14ac:dyDescent="0.3">
      <c r="AV475" s="15"/>
    </row>
    <row r="476" spans="48:48" x14ac:dyDescent="0.3">
      <c r="AV476" s="15"/>
    </row>
    <row r="477" spans="48:48" x14ac:dyDescent="0.3">
      <c r="AV477" s="15"/>
    </row>
    <row r="478" spans="48:48" x14ac:dyDescent="0.3">
      <c r="AV478" s="15"/>
    </row>
    <row r="479" spans="48:48" x14ac:dyDescent="0.3">
      <c r="AV479" s="15"/>
    </row>
    <row r="480" spans="48:48" x14ac:dyDescent="0.3">
      <c r="AV480" s="15"/>
    </row>
    <row r="481" spans="48:48" x14ac:dyDescent="0.3">
      <c r="AV481" s="15"/>
    </row>
    <row r="482" spans="48:48" x14ac:dyDescent="0.3">
      <c r="AV482" s="15"/>
    </row>
    <row r="483" spans="48:48" x14ac:dyDescent="0.3">
      <c r="AV483" s="15"/>
    </row>
    <row r="484" spans="48:48" x14ac:dyDescent="0.3">
      <c r="AV484" s="15"/>
    </row>
    <row r="485" spans="48:48" x14ac:dyDescent="0.3">
      <c r="AV485" s="15"/>
    </row>
    <row r="486" spans="48:48" x14ac:dyDescent="0.3">
      <c r="AV486" s="15"/>
    </row>
    <row r="487" spans="48:48" x14ac:dyDescent="0.3">
      <c r="AV487" s="15"/>
    </row>
    <row r="488" spans="48:48" x14ac:dyDescent="0.3">
      <c r="AV488" s="15"/>
    </row>
    <row r="489" spans="48:48" x14ac:dyDescent="0.3">
      <c r="AV489" s="15"/>
    </row>
    <row r="490" spans="48:48" x14ac:dyDescent="0.3">
      <c r="AV490" s="15"/>
    </row>
    <row r="491" spans="48:48" x14ac:dyDescent="0.3">
      <c r="AV491" s="15"/>
    </row>
    <row r="492" spans="48:48" x14ac:dyDescent="0.3">
      <c r="AV492" s="15"/>
    </row>
    <row r="493" spans="48:48" x14ac:dyDescent="0.3">
      <c r="AV493" s="15"/>
    </row>
    <row r="494" spans="48:48" x14ac:dyDescent="0.3">
      <c r="AV494" s="15"/>
    </row>
    <row r="495" spans="48:48" x14ac:dyDescent="0.3">
      <c r="AV495" s="15"/>
    </row>
    <row r="496" spans="48:48" x14ac:dyDescent="0.3">
      <c r="AV496" s="15"/>
    </row>
    <row r="497" spans="48:48" x14ac:dyDescent="0.3">
      <c r="AV497" s="15"/>
    </row>
    <row r="498" spans="48:48" x14ac:dyDescent="0.3">
      <c r="AV498" s="15"/>
    </row>
    <row r="499" spans="48:48" x14ac:dyDescent="0.3">
      <c r="AV499" s="15"/>
    </row>
    <row r="500" spans="48:48" x14ac:dyDescent="0.3">
      <c r="AV500" s="15"/>
    </row>
    <row r="501" spans="48:48" x14ac:dyDescent="0.3">
      <c r="AV501" s="15"/>
    </row>
    <row r="502" spans="48:48" x14ac:dyDescent="0.3">
      <c r="AV502" s="15"/>
    </row>
    <row r="503" spans="48:48" x14ac:dyDescent="0.3">
      <c r="AV503" s="15"/>
    </row>
    <row r="504" spans="48:48" x14ac:dyDescent="0.3">
      <c r="AV504" s="15"/>
    </row>
    <row r="505" spans="48:48" x14ac:dyDescent="0.3">
      <c r="AV505" s="15"/>
    </row>
    <row r="506" spans="48:48" x14ac:dyDescent="0.3">
      <c r="AV506" s="15"/>
    </row>
    <row r="507" spans="48:48" x14ac:dyDescent="0.3">
      <c r="AV507" s="15"/>
    </row>
    <row r="508" spans="48:48" x14ac:dyDescent="0.3">
      <c r="AV508" s="15"/>
    </row>
    <row r="509" spans="48:48" x14ac:dyDescent="0.3">
      <c r="AV509" s="15"/>
    </row>
    <row r="510" spans="48:48" x14ac:dyDescent="0.3">
      <c r="AV510" s="15"/>
    </row>
    <row r="511" spans="48:48" x14ac:dyDescent="0.3">
      <c r="AV511" s="15"/>
    </row>
    <row r="512" spans="48:48" x14ac:dyDescent="0.3">
      <c r="AV512" s="15"/>
    </row>
    <row r="513" spans="48:48" x14ac:dyDescent="0.3">
      <c r="AV513" s="15"/>
    </row>
    <row r="514" spans="48:48" x14ac:dyDescent="0.3">
      <c r="AV514" s="15"/>
    </row>
    <row r="515" spans="48:48" x14ac:dyDescent="0.3">
      <c r="AV515" s="15"/>
    </row>
    <row r="516" spans="48:48" x14ac:dyDescent="0.3">
      <c r="AV516" s="15"/>
    </row>
    <row r="517" spans="48:48" x14ac:dyDescent="0.3">
      <c r="AV517" s="15"/>
    </row>
    <row r="518" spans="48:48" x14ac:dyDescent="0.3">
      <c r="AV518" s="15"/>
    </row>
    <row r="519" spans="48:48" x14ac:dyDescent="0.3">
      <c r="AV519" s="15"/>
    </row>
    <row r="520" spans="48:48" x14ac:dyDescent="0.3">
      <c r="AV520" s="15"/>
    </row>
    <row r="521" spans="48:48" x14ac:dyDescent="0.3">
      <c r="AV521" s="15"/>
    </row>
    <row r="522" spans="48:48" x14ac:dyDescent="0.3">
      <c r="AV522" s="15"/>
    </row>
    <row r="523" spans="48:48" x14ac:dyDescent="0.3">
      <c r="AV523" s="15"/>
    </row>
    <row r="524" spans="48:48" x14ac:dyDescent="0.3">
      <c r="AV524" s="15"/>
    </row>
    <row r="525" spans="48:48" x14ac:dyDescent="0.3">
      <c r="AV525" s="15"/>
    </row>
    <row r="526" spans="48:48" x14ac:dyDescent="0.3">
      <c r="AV526" s="15"/>
    </row>
    <row r="527" spans="48:48" x14ac:dyDescent="0.3">
      <c r="AV527" s="15"/>
    </row>
    <row r="528" spans="48:48" x14ac:dyDescent="0.3">
      <c r="AV528" s="15"/>
    </row>
    <row r="529" spans="48:48" x14ac:dyDescent="0.3">
      <c r="AV529" s="15"/>
    </row>
    <row r="530" spans="48:48" x14ac:dyDescent="0.3">
      <c r="AV530" s="15"/>
    </row>
    <row r="531" spans="48:48" x14ac:dyDescent="0.3">
      <c r="AV531" s="15"/>
    </row>
    <row r="532" spans="48:48" x14ac:dyDescent="0.3">
      <c r="AV532" s="15"/>
    </row>
    <row r="533" spans="48:48" x14ac:dyDescent="0.3">
      <c r="AV533" s="15"/>
    </row>
    <row r="534" spans="48:48" x14ac:dyDescent="0.3">
      <c r="AV534" s="15"/>
    </row>
    <row r="535" spans="48:48" x14ac:dyDescent="0.3">
      <c r="AV535" s="15"/>
    </row>
    <row r="536" spans="48:48" x14ac:dyDescent="0.3">
      <c r="AV536" s="15"/>
    </row>
    <row r="537" spans="48:48" x14ac:dyDescent="0.3">
      <c r="AV537" s="15"/>
    </row>
    <row r="538" spans="48:48" x14ac:dyDescent="0.3">
      <c r="AV538" s="15"/>
    </row>
    <row r="539" spans="48:48" x14ac:dyDescent="0.3">
      <c r="AV539" s="15"/>
    </row>
    <row r="540" spans="48:48" x14ac:dyDescent="0.3">
      <c r="AV540" s="15"/>
    </row>
    <row r="541" spans="48:48" x14ac:dyDescent="0.3">
      <c r="AV541" s="15"/>
    </row>
    <row r="542" spans="48:48" x14ac:dyDescent="0.3">
      <c r="AV542" s="15"/>
    </row>
    <row r="543" spans="48:48" x14ac:dyDescent="0.3">
      <c r="AV543" s="15"/>
    </row>
    <row r="544" spans="48:48" x14ac:dyDescent="0.3">
      <c r="AV544" s="15"/>
    </row>
    <row r="545" spans="48:48" x14ac:dyDescent="0.3">
      <c r="AV545" s="15"/>
    </row>
    <row r="546" spans="48:48" x14ac:dyDescent="0.3">
      <c r="AV546" s="15"/>
    </row>
    <row r="547" spans="48:48" x14ac:dyDescent="0.3">
      <c r="AV547" s="15"/>
    </row>
    <row r="548" spans="48:48" x14ac:dyDescent="0.3">
      <c r="AV548" s="15"/>
    </row>
    <row r="549" spans="48:48" x14ac:dyDescent="0.3">
      <c r="AV549" s="15"/>
    </row>
    <row r="550" spans="48:48" x14ac:dyDescent="0.3">
      <c r="AV550" s="15"/>
    </row>
    <row r="551" spans="48:48" x14ac:dyDescent="0.3">
      <c r="AV551" s="15"/>
    </row>
    <row r="552" spans="48:48" x14ac:dyDescent="0.3">
      <c r="AV552" s="15"/>
    </row>
    <row r="553" spans="48:48" x14ac:dyDescent="0.3">
      <c r="AV553" s="15"/>
    </row>
    <row r="554" spans="48:48" x14ac:dyDescent="0.3">
      <c r="AV554" s="15"/>
    </row>
    <row r="555" spans="48:48" x14ac:dyDescent="0.3">
      <c r="AV555" s="15"/>
    </row>
    <row r="556" spans="48:48" x14ac:dyDescent="0.3">
      <c r="AV556" s="15"/>
    </row>
    <row r="557" spans="48:48" x14ac:dyDescent="0.3">
      <c r="AV557" s="15"/>
    </row>
    <row r="558" spans="48:48" x14ac:dyDescent="0.3">
      <c r="AV558" s="15"/>
    </row>
    <row r="559" spans="48:48" x14ac:dyDescent="0.3">
      <c r="AV559" s="15"/>
    </row>
    <row r="560" spans="48:48" x14ac:dyDescent="0.3">
      <c r="AV560" s="15"/>
    </row>
    <row r="561" spans="48:48" x14ac:dyDescent="0.3">
      <c r="AV561" s="15"/>
    </row>
    <row r="562" spans="48:48" x14ac:dyDescent="0.3">
      <c r="AV562" s="15"/>
    </row>
    <row r="563" spans="48:48" x14ac:dyDescent="0.3">
      <c r="AV563" s="15"/>
    </row>
    <row r="564" spans="48:48" x14ac:dyDescent="0.3">
      <c r="AV564" s="15"/>
    </row>
    <row r="565" spans="48:48" x14ac:dyDescent="0.3">
      <c r="AV565" s="15"/>
    </row>
    <row r="566" spans="48:48" x14ac:dyDescent="0.3">
      <c r="AV566" s="15"/>
    </row>
    <row r="567" spans="48:48" x14ac:dyDescent="0.3">
      <c r="AV567" s="15"/>
    </row>
    <row r="568" spans="48:48" x14ac:dyDescent="0.3">
      <c r="AV568" s="15"/>
    </row>
    <row r="569" spans="48:48" x14ac:dyDescent="0.3">
      <c r="AV569" s="15"/>
    </row>
    <row r="570" spans="48:48" x14ac:dyDescent="0.3">
      <c r="AV570" s="15"/>
    </row>
    <row r="571" spans="48:48" x14ac:dyDescent="0.3">
      <c r="AV571" s="15"/>
    </row>
    <row r="572" spans="48:48" x14ac:dyDescent="0.3">
      <c r="AV572" s="15"/>
    </row>
    <row r="573" spans="48:48" x14ac:dyDescent="0.3">
      <c r="AV573" s="15"/>
    </row>
    <row r="574" spans="48:48" x14ac:dyDescent="0.3">
      <c r="AV574" s="15"/>
    </row>
    <row r="575" spans="48:48" x14ac:dyDescent="0.3">
      <c r="AV575" s="15"/>
    </row>
    <row r="576" spans="48:48" x14ac:dyDescent="0.3">
      <c r="AV576" s="15"/>
    </row>
    <row r="577" spans="48:48" x14ac:dyDescent="0.3">
      <c r="AV577" s="15"/>
    </row>
    <row r="578" spans="48:48" x14ac:dyDescent="0.3">
      <c r="AV578" s="15"/>
    </row>
    <row r="579" spans="48:48" x14ac:dyDescent="0.3">
      <c r="AV579" s="15"/>
    </row>
    <row r="580" spans="48:48" x14ac:dyDescent="0.3">
      <c r="AV580" s="15"/>
    </row>
    <row r="581" spans="48:48" x14ac:dyDescent="0.3">
      <c r="AV581" s="15"/>
    </row>
    <row r="582" spans="48:48" x14ac:dyDescent="0.3">
      <c r="AV582" s="15"/>
    </row>
    <row r="583" spans="48:48" x14ac:dyDescent="0.3">
      <c r="AV583" s="15"/>
    </row>
    <row r="584" spans="48:48" x14ac:dyDescent="0.3">
      <c r="AV584" s="15"/>
    </row>
    <row r="585" spans="48:48" x14ac:dyDescent="0.3">
      <c r="AV585" s="15"/>
    </row>
    <row r="586" spans="48:48" x14ac:dyDescent="0.3">
      <c r="AV586" s="15"/>
    </row>
    <row r="587" spans="48:48" x14ac:dyDescent="0.3">
      <c r="AV587" s="15"/>
    </row>
    <row r="588" spans="48:48" x14ac:dyDescent="0.3">
      <c r="AV588" s="15"/>
    </row>
    <row r="589" spans="48:48" x14ac:dyDescent="0.3">
      <c r="AV589" s="15"/>
    </row>
    <row r="590" spans="48:48" x14ac:dyDescent="0.3">
      <c r="AV590" s="15"/>
    </row>
    <row r="591" spans="48:48" x14ac:dyDescent="0.3">
      <c r="AV591" s="15"/>
    </row>
    <row r="592" spans="48:48" x14ac:dyDescent="0.3">
      <c r="AV592" s="15"/>
    </row>
    <row r="593" spans="48:48" x14ac:dyDescent="0.3">
      <c r="AV593" s="15"/>
    </row>
    <row r="594" spans="48:48" x14ac:dyDescent="0.3">
      <c r="AV594" s="15"/>
    </row>
    <row r="595" spans="48:48" x14ac:dyDescent="0.3">
      <c r="AV595" s="15"/>
    </row>
    <row r="596" spans="48:48" x14ac:dyDescent="0.3">
      <c r="AV596" s="15"/>
    </row>
    <row r="597" spans="48:48" x14ac:dyDescent="0.3">
      <c r="AV597" s="15"/>
    </row>
    <row r="598" spans="48:48" x14ac:dyDescent="0.3">
      <c r="AV598" s="15"/>
    </row>
    <row r="599" spans="48:48" x14ac:dyDescent="0.3">
      <c r="AV599" s="15"/>
    </row>
    <row r="600" spans="48:48" x14ac:dyDescent="0.3">
      <c r="AV600" s="15"/>
    </row>
    <row r="601" spans="48:48" x14ac:dyDescent="0.3">
      <c r="AV601" s="15"/>
    </row>
    <row r="602" spans="48:48" x14ac:dyDescent="0.3">
      <c r="AV602" s="15"/>
    </row>
    <row r="603" spans="48:48" x14ac:dyDescent="0.3">
      <c r="AV603" s="15"/>
    </row>
    <row r="604" spans="48:48" x14ac:dyDescent="0.3">
      <c r="AV604" s="15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iwoSE/FDXV/JsChWwXGoucnDwD1x0FlP6OslK+U7fDDgUBc+pDyvOSOW4zENvmoMT0Nsb2Vhz9GRxNpHR4zisg==" saltValue="TzalA4PQG9pcxOiFi+fjzg==" spinCount="100000" sqref="B4:D5 AV43:BA43 BB43:BB1048576 E44:BA1048576 B6:C6 D6:D1048576 G6 BC8:XFD1048576 V7:XFD7 D1:XFD3 H4:XFD6 V8:BB42 E7:U42" name="Intervalo1"/>
  </protectedRange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Header>&amp;C
&amp;G</oddHeader>
  </headerFooter>
  <drawing r:id="rId2"/>
  <legacyDrawingHF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CF54F-2321-4C7D-93EF-45474B339F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Comece por Aqui</vt:lpstr>
      <vt:lpstr>Relatório 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 oliveira</dc:creator>
  <cp:lastModifiedBy>Edilane Baima Alvarenga</cp:lastModifiedBy>
  <cp:lastPrinted>2025-07-17T17:16:40Z</cp:lastPrinted>
  <dcterms:created xsi:type="dcterms:W3CDTF">2024-02-05T18:43:59Z</dcterms:created>
  <dcterms:modified xsi:type="dcterms:W3CDTF">2026-05-23T21:43:25Z</dcterms:modified>
</cp:coreProperties>
</file>