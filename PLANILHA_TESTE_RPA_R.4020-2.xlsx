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slne\OneDrive\Área de Trabalho\"/>
    </mc:Choice>
  </mc:AlternateContent>
  <xr:revisionPtr revIDLastSave="0" documentId="8_{3864930F-20BC-44A2-8A12-C72464449A19}" xr6:coauthVersionLast="36" xr6:coauthVersionMax="36" xr10:uidLastSave="{00000000-0000-0000-0000-000000000000}"/>
  <bookViews>
    <workbookView xWindow="0" yWindow="0" windowWidth="23040" windowHeight="8364" xr2:uid="{ECB68BDB-20F3-439A-86BF-58DE24B639E9}"/>
  </bookViews>
  <sheets>
    <sheet name="Relatório Base" sheetId="1" r:id="rId1"/>
  </sheets>
  <definedNames>
    <definedName name="DadosExternos_1" localSheetId="0" hidden="1">'Relatório Base'!$E$8:$AT$35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L36" i="1" l="1"/>
  <c r="AK36" i="1"/>
  <c r="AJ36" i="1"/>
  <c r="AI36" i="1"/>
  <c r="AH36" i="1"/>
  <c r="T36" i="1"/>
  <c r="S36" i="1"/>
  <c r="AZ35" i="1"/>
  <c r="AY35" i="1"/>
  <c r="AX35" i="1"/>
  <c r="BA35" i="1" s="1"/>
  <c r="AW35" i="1"/>
  <c r="AV35" i="1"/>
  <c r="AU35" i="1" a="1"/>
  <c r="AU35" i="1" s="1"/>
  <c r="AZ34" i="1"/>
  <c r="AY34" i="1"/>
  <c r="AX34" i="1"/>
  <c r="BA34" i="1" s="1"/>
  <c r="AW34" i="1"/>
  <c r="AV34" i="1"/>
  <c r="AU34" i="1" a="1"/>
  <c r="AU34" i="1" s="1"/>
  <c r="AZ33" i="1"/>
  <c r="AY33" i="1"/>
  <c r="AX33" i="1"/>
  <c r="BB33" i="1" s="1"/>
  <c r="AW33" i="1"/>
  <c r="AV33" i="1"/>
  <c r="AU33" i="1" a="1"/>
  <c r="AU33" i="1" s="1"/>
  <c r="AZ32" i="1"/>
  <c r="AY32" i="1"/>
  <c r="AX32" i="1"/>
  <c r="BB32" i="1" s="1"/>
  <c r="AW32" i="1"/>
  <c r="AV32" i="1"/>
  <c r="AU32" i="1" a="1"/>
  <c r="AU32" i="1" s="1"/>
  <c r="AZ31" i="1"/>
  <c r="AY31" i="1"/>
  <c r="AX31" i="1"/>
  <c r="BB31" i="1" s="1"/>
  <c r="AW31" i="1"/>
  <c r="AV31" i="1"/>
  <c r="AU31" i="1" a="1"/>
  <c r="AU31" i="1" s="1"/>
  <c r="AZ30" i="1"/>
  <c r="AY30" i="1"/>
  <c r="AX30" i="1"/>
  <c r="BA30" i="1" s="1"/>
  <c r="AW30" i="1"/>
  <c r="AV30" i="1"/>
  <c r="AU30" i="1" a="1"/>
  <c r="AU30" i="1" s="1"/>
  <c r="AZ29" i="1"/>
  <c r="AY29" i="1"/>
  <c r="AX29" i="1"/>
  <c r="BB29" i="1" s="1"/>
  <c r="AW29" i="1"/>
  <c r="AV29" i="1"/>
  <c r="AU29" i="1" a="1"/>
  <c r="AU29" i="1" s="1"/>
  <c r="AZ28" i="1"/>
  <c r="AY28" i="1"/>
  <c r="AX28" i="1"/>
  <c r="BB28" i="1" s="1"/>
  <c r="AW28" i="1"/>
  <c r="AV28" i="1"/>
  <c r="AU28" i="1" a="1"/>
  <c r="AU28" i="1" s="1"/>
  <c r="AZ27" i="1"/>
  <c r="AY27" i="1"/>
  <c r="AX27" i="1"/>
  <c r="BB27" i="1" s="1"/>
  <c r="AW27" i="1"/>
  <c r="AV27" i="1"/>
  <c r="AU27" i="1" a="1"/>
  <c r="AU27" i="1" s="1"/>
  <c r="AZ26" i="1"/>
  <c r="AY26" i="1"/>
  <c r="AX26" i="1"/>
  <c r="BB26" i="1" s="1"/>
  <c r="AW26" i="1"/>
  <c r="AV26" i="1"/>
  <c r="AU26" i="1" a="1"/>
  <c r="AU26" i="1" s="1"/>
  <c r="AZ25" i="1"/>
  <c r="AY25" i="1"/>
  <c r="AX25" i="1"/>
  <c r="BB25" i="1" s="1"/>
  <c r="AW25" i="1"/>
  <c r="AV25" i="1"/>
  <c r="AU25" i="1" a="1"/>
  <c r="AU25" i="1" s="1"/>
  <c r="AZ24" i="1"/>
  <c r="AY24" i="1"/>
  <c r="AX24" i="1"/>
  <c r="BB24" i="1" s="1"/>
  <c r="AW24" i="1"/>
  <c r="AV24" i="1"/>
  <c r="AU24" i="1" a="1"/>
  <c r="AU24" i="1" s="1"/>
  <c r="AZ23" i="1"/>
  <c r="AY23" i="1"/>
  <c r="AX23" i="1"/>
  <c r="BB23" i="1" s="1"/>
  <c r="AW23" i="1"/>
  <c r="AV23" i="1"/>
  <c r="AU23" i="1" a="1"/>
  <c r="AU23" i="1" s="1"/>
  <c r="AZ22" i="1"/>
  <c r="AY22" i="1"/>
  <c r="AX22" i="1"/>
  <c r="BB22" i="1" s="1"/>
  <c r="AW22" i="1"/>
  <c r="AV22" i="1"/>
  <c r="AU22" i="1" a="1"/>
  <c r="AU22" i="1" s="1"/>
  <c r="AZ21" i="1"/>
  <c r="AY21" i="1"/>
  <c r="AX21" i="1"/>
  <c r="BB21" i="1" s="1"/>
  <c r="AW21" i="1"/>
  <c r="AV21" i="1"/>
  <c r="AU21" i="1" a="1"/>
  <c r="AU21" i="1" s="1"/>
  <c r="AZ20" i="1"/>
  <c r="AY20" i="1"/>
  <c r="AX20" i="1"/>
  <c r="BB20" i="1" s="1"/>
  <c r="AW20" i="1"/>
  <c r="AV20" i="1"/>
  <c r="AU20" i="1" a="1"/>
  <c r="AU20" i="1" s="1"/>
  <c r="AZ19" i="1"/>
  <c r="AY19" i="1"/>
  <c r="AX19" i="1"/>
  <c r="BB19" i="1" s="1"/>
  <c r="AW19" i="1"/>
  <c r="AV19" i="1"/>
  <c r="AU19" i="1" a="1"/>
  <c r="AU19" i="1" s="1"/>
  <c r="AZ18" i="1"/>
  <c r="AY18" i="1"/>
  <c r="AX18" i="1"/>
  <c r="BB18" i="1" s="1"/>
  <c r="AW18" i="1"/>
  <c r="AV18" i="1"/>
  <c r="AU18" i="1" a="1"/>
  <c r="AU18" i="1" s="1"/>
  <c r="AZ17" i="1"/>
  <c r="AY17" i="1"/>
  <c r="AX17" i="1"/>
  <c r="BB17" i="1" s="1"/>
  <c r="AW17" i="1"/>
  <c r="AV17" i="1"/>
  <c r="AU17" i="1" a="1"/>
  <c r="AU17" i="1" s="1"/>
  <c r="AZ16" i="1"/>
  <c r="AY16" i="1"/>
  <c r="AX16" i="1"/>
  <c r="BB16" i="1" s="1"/>
  <c r="AW16" i="1"/>
  <c r="AV16" i="1"/>
  <c r="AU16" i="1" a="1"/>
  <c r="AU16" i="1" s="1"/>
  <c r="AZ15" i="1"/>
  <c r="AY15" i="1"/>
  <c r="AX15" i="1"/>
  <c r="BA15" i="1" s="1"/>
  <c r="AW15" i="1"/>
  <c r="AV15" i="1"/>
  <c r="AU15" i="1" a="1"/>
  <c r="AU15" i="1" s="1"/>
  <c r="AZ14" i="1"/>
  <c r="AY14" i="1"/>
  <c r="AX14" i="1"/>
  <c r="BA14" i="1" s="1"/>
  <c r="AW14" i="1"/>
  <c r="AV14" i="1"/>
  <c r="AU14" i="1" a="1"/>
  <c r="AU14" i="1" s="1"/>
  <c r="AZ13" i="1"/>
  <c r="AY13" i="1"/>
  <c r="AX13" i="1"/>
  <c r="BB13" i="1" s="1"/>
  <c r="AW13" i="1"/>
  <c r="AV13" i="1"/>
  <c r="AU13" i="1" a="1"/>
  <c r="AU13" i="1" s="1"/>
  <c r="AZ12" i="1"/>
  <c r="AY12" i="1"/>
  <c r="AX12" i="1"/>
  <c r="BB12" i="1" s="1"/>
  <c r="AW12" i="1"/>
  <c r="AV12" i="1"/>
  <c r="AU12" i="1" a="1"/>
  <c r="AU12" i="1" s="1"/>
  <c r="AZ11" i="1"/>
  <c r="AY11" i="1"/>
  <c r="AX11" i="1"/>
  <c r="BB11" i="1" s="1"/>
  <c r="AW11" i="1"/>
  <c r="AV11" i="1"/>
  <c r="AU11" i="1" a="1"/>
  <c r="AU11" i="1" s="1"/>
  <c r="AZ10" i="1"/>
  <c r="AY10" i="1"/>
  <c r="AX10" i="1"/>
  <c r="BB10" i="1" s="1"/>
  <c r="AW10" i="1"/>
  <c r="AV10" i="1"/>
  <c r="AU10" i="1" a="1"/>
  <c r="AU10" i="1" s="1"/>
  <c r="AZ9" i="1"/>
  <c r="AY9" i="1"/>
  <c r="AX9" i="1"/>
  <c r="BA9" i="1" s="1"/>
  <c r="AW9" i="1"/>
  <c r="AV9" i="1"/>
  <c r="AU9" i="1" a="1"/>
  <c r="AU9" i="1" s="1"/>
  <c r="BA22" i="1" l="1"/>
  <c r="AW36" i="1"/>
  <c r="BB15" i="1"/>
  <c r="BB30" i="1"/>
  <c r="BA23" i="1"/>
  <c r="BA31" i="1"/>
  <c r="BA27" i="1"/>
  <c r="BA28" i="1"/>
  <c r="BB14" i="1"/>
  <c r="BA13" i="1"/>
  <c r="BA12" i="1"/>
  <c r="BB9" i="1"/>
  <c r="BB34" i="1"/>
  <c r="BB35" i="1"/>
  <c r="BA16" i="1"/>
  <c r="BA29" i="1"/>
  <c r="BA20" i="1"/>
  <c r="BA21" i="1"/>
  <c r="AU36" i="1"/>
  <c r="BA17" i="1"/>
  <c r="BA24" i="1"/>
  <c r="BA32" i="1"/>
  <c r="BA10" i="1"/>
  <c r="BA18" i="1"/>
  <c r="BA25" i="1"/>
  <c r="BA11" i="1"/>
  <c r="BA19" i="1"/>
  <c r="BA26" i="1"/>
  <c r="BA33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A44FE72-8DFB-4866-BAF6-FC2AE807424A}" keepAlive="1" name="Consulta - Arquivo XMLContagemdeCredor" description="Conexão com a consulta 'Arquivo XMLContagemdeCredor' na pasta de trabalho." type="5" refreshedVersion="0" background="1">
    <dbPr connection="Provider=Microsoft.Mashup.OleDb.1;Data Source=$Workbook$;Location=&quot;Arquivo XMLContagemdeCredor&quot;;Extended Properties=&quot;&quot;" command="SELECT * FROM [Arquivo XMLContagemdeCredor]"/>
  </connection>
  <connection id="2" xr16:uid="{853273DD-E479-4A3F-9D22-0BD0B47316CE}" keepAlive="1" name="Consulta - Arquivo XMLContagemdeDDF025" description="Conexão com a consulta 'Arquivo XMLContagemdeDDF025' na pasta de trabalho." type="5" refreshedVersion="0" background="1">
    <dbPr connection="Provider=Microsoft.Mashup.OleDb.1;Data Source=$Workbook$;Location=&quot;Arquivo XMLContagemdeDDF025&quot;;Extended Properties=&quot;&quot;" command="SELECT * FROM [Arquivo XMLContagemdeDDF025]"/>
  </connection>
  <connection id="3" xr16:uid="{F47006A1-F22F-476F-BBCE-81626C453318}" keepAlive="1" name="Consulta - Arquivo XMLDocumentosdeOrigem" description="Conexão com a consulta 'Arquivo XMLDocumentosdeOrigem' na pasta de trabalho." type="5" refreshedVersion="0" background="1">
    <dbPr connection="Provider=Microsoft.Mashup.OleDb.1;Data Source=$Workbook$;Location=&quot;Arquivo XMLDocumentosdeOrigem&quot;;Extended Properties=&quot;&quot;" command="SELECT * FROM [Arquivo XMLDocumentosdeOrigem]"/>
  </connection>
  <connection id="4" xr16:uid="{D64ACCF3-A6AE-44E0-87E6-819374DAEDF3}" keepAlive="1" name="Consulta - Arquivo XMLDocumentosdeOrigemUnicos" description="Conexão com a consulta 'Arquivo XMLDocumentosdeOrigemUnicos' na pasta de trabalho." type="5" refreshedVersion="0" background="1">
    <dbPr connection="Provider=Microsoft.Mashup.OleDb.1;Data Source=$Workbook$;Location=&quot;Arquivo XMLDocumentosdeOrigemUnicos&quot;;Extended Properties=&quot;&quot;" command="SELECT * FROM [Arquivo XMLDocumentosdeOrigemUnicos]"/>
  </connection>
  <connection id="5" xr16:uid="{F00D57E1-2875-4E97-B99F-8024232E8387}" keepAlive="1" name="Consulta - ArquivoXMLBaseReferência" description="Conexão com a consulta 'ArquivoXMLBaseReferência' na pasta de trabalho." type="5" refreshedVersion="0" background="1">
    <dbPr connection="Provider=Microsoft.Mashup.OleDb.1;Data Source=$Workbook$;Location=ArquivoXMLBaseReferência;Extended Properties=&quot;&quot;" command="SELECT * FROM [ArquivoXMLBaseReferência]"/>
  </connection>
  <connection id="6" xr16:uid="{7B41A229-7D43-44FB-BC64-F876A119EA4D}" keepAlive="1" name="Consulta - BaseRelatórioGeral" description="Conexão com a consulta 'BaseRelatórioGeral' na pasta de trabalho." type="5" refreshedVersion="6" background="1" saveData="1">
    <dbPr connection="Provider=Microsoft.Mashup.OleDb.1;Data Source=$Workbook$;Location=BaseRelatórioGeral;Extended Properties=&quot;&quot;" command="SELECT * FROM [BaseRelatórioGeral]"/>
  </connection>
  <connection id="7" xr16:uid="{CA4BFAD9-B48F-4FB0-B683-7D7CD3B78E09}" keepAlive="1" name="Consulta - CodNatRendEFD" description="Conexão com a consulta 'CodNatRendEFD' na pasta de trabalho." type="5" refreshedVersion="0" background="1">
    <dbPr connection="Provider=Microsoft.Mashup.OleDb.1;Data Source=$Workbook$;Location=CodNatRendEFD;Extended Properties=&quot;&quot;" command="SELECT * FROM [CodNatRendEFD]"/>
  </connection>
  <connection id="8" xr16:uid="{172F43B2-9A17-45D4-A317-839EA0CA71D6}" keepAlive="1" name="Consulta - Empenhos liquidados a pagar" description="Conexão com a consulta 'Empenhos liquidados a pagar' na pasta de trabalho." type="5" refreshedVersion="0" background="1">
    <dbPr connection="Provider=Microsoft.Mashup.OleDb.1;Data Source=$Workbook$;Location=&quot;Empenhos liquidados a pagar&quot;;Extended Properties=&quot;&quot;" command="SELECT * FROM [Empenhos liquidados a pagar]"/>
  </connection>
  <connection id="9" xr16:uid="{762F25F4-60CD-4738-A009-97C7ECF629B6}" keepAlive="1" name="Consulta - Mês EFDReinf" description="Conexão com a consulta 'Mês EFDReinf' na pasta de trabalho." type="5" refreshedVersion="0" background="1">
    <dbPr connection="Provider=Microsoft.Mashup.OleDb.1;Data Source=$Workbook$;Location=&quot;Mês EFDReinf&quot;;Extended Properties=&quot;&quot;" command="SELECT * FROM [Mês EFDReinf]"/>
  </connection>
  <connection id="10" xr16:uid="{4ED400F9-68E7-4BE3-80E2-6057945381DF}" keepAlive="1" name="Consulta - NS CompletaDDF" description="Conexão com a consulta 'NS CompletaDDF' na pasta de trabalho." type="5" refreshedVersion="0" background="1">
    <dbPr connection="Provider=Microsoft.Mashup.OleDb.1;Data Source=$Workbook$;Location=&quot;NS CompletaDDF&quot;;Extended Properties=&quot;&quot;" command="SELECT * FROM [NS CompletaDDF]"/>
  </connection>
  <connection id="11" xr16:uid="{86DEBD28-1D75-41FF-AD4C-84AFE59F0A8B}" keepAlive="1" name="Consulta - Ordens Bancárias" description="Conexão com a consulta 'Ordens Bancárias' na pasta de trabalho." type="5" refreshedVersion="0" background="1">
    <dbPr connection="Provider=Microsoft.Mashup.OleDb.1;Data Source=$Workbook$;Location=&quot;Ordens Bancárias&quot;;Extended Properties=&quot;&quot;" command="SELECT * FROM [Ordens Bancárias]"/>
  </connection>
  <connection id="12" xr16:uid="{1F15E53E-6458-4677-A1E6-5A09DDCC3914}" keepAlive="1" name="Consulta - TotalizadorCódigoDarf" description="Conexão com a consulta 'TotalizadorCódigoDarf' na pasta de trabalho." type="5" refreshedVersion="0" background="1">
    <dbPr connection="Provider=Microsoft.Mashup.OleDb.1;Data Source=$Workbook$;Location=TotalizadorCódigoDarf;Extended Properties=&quot;&quot;" command="SELECT * FROM [TotalizadorCódigoDarf]"/>
  </connection>
  <connection id="13" xr16:uid="{0DE79E0F-994B-4C9D-A8BF-6DE9EE1D3F3A}" keepAlive="1" name="Consulta - Valor Total Darf Por documento" description="Conexão com a consulta 'Valor Total Darf Por documento' na pasta de trabalho." type="5" refreshedVersion="0" background="1">
    <dbPr connection="Provider=Microsoft.Mashup.OleDb.1;Data Source=$Workbook$;Location=&quot;Valor Total Darf Por documento&quot;;Extended Properties=&quot;&quot;" command="SELECT * FROM [Valor Total Darf Por documento]"/>
  </connection>
</connections>
</file>

<file path=xl/sharedStrings.xml><?xml version="1.0" encoding="utf-8"?>
<sst xmlns="http://schemas.openxmlformats.org/spreadsheetml/2006/main" count="645" uniqueCount="169">
  <si>
    <t>Classificação Tributária</t>
  </si>
  <si>
    <t>CNPJ da Unidae Pagadora (00.000.000/000-00)</t>
  </si>
  <si>
    <t>DATA DO FATO GERADOR (DD/MM/AAAA) último dia do mês de apuração</t>
  </si>
  <si>
    <t>44.365.866/0001-71</t>
  </si>
  <si>
    <t>Observação Pré-Doc DARF</t>
  </si>
  <si>
    <t>CNPJ da Unidae Pagadora</t>
  </si>
  <si>
    <t>UG Pagadora</t>
  </si>
  <si>
    <t>UG Emitente</t>
  </si>
  <si>
    <t>Data do Vencimento</t>
  </si>
  <si>
    <t>Data do Pagamento</t>
  </si>
  <si>
    <t>Situação</t>
  </si>
  <si>
    <t>Recolhedor Darf</t>
  </si>
  <si>
    <t>Per.Apuração do Pre-Doc</t>
  </si>
  <si>
    <t>Código DARF SIAFI</t>
  </si>
  <si>
    <t>Nat.Rendimento Darf</t>
  </si>
  <si>
    <t>Recurso.Pre-Doc</t>
  </si>
  <si>
    <t>Vinculação</t>
  </si>
  <si>
    <t>Fonte Recursos Detalhada</t>
  </si>
  <si>
    <t>Base de Cálculo Darf</t>
  </si>
  <si>
    <t>Valor Receita Darf</t>
  </si>
  <si>
    <t>EmpenhoVinc.Dedução</t>
  </si>
  <si>
    <t>numDocOrigem</t>
  </si>
  <si>
    <t>Valor Doc Origem</t>
  </si>
  <si>
    <t>Verificação de Base/Dedução</t>
  </si>
  <si>
    <t>Nºdoc.Hábil</t>
  </si>
  <si>
    <t>Data OB Pgto Fornecedor</t>
  </si>
  <si>
    <t>Processo Sei</t>
  </si>
  <si>
    <t>Credor</t>
  </si>
  <si>
    <t>Favorecido do Empenho</t>
  </si>
  <si>
    <t>Alíquota Tab.EFDReinf</t>
  </si>
  <si>
    <t>Mês Pgto Fornecedor</t>
  </si>
  <si>
    <t>Mês Pré-Doc</t>
  </si>
  <si>
    <t>Mês Ref. EFDReinf</t>
  </si>
  <si>
    <t>IR</t>
  </si>
  <si>
    <t>AGREGADO</t>
  </si>
  <si>
    <t>CSLL</t>
  </si>
  <si>
    <t>PIS/PASEP</t>
  </si>
  <si>
    <t>COFINS</t>
  </si>
  <si>
    <t>Código Darf SIAFI/Tabela Código 4020</t>
  </si>
  <si>
    <t>Tributo</t>
  </si>
  <si>
    <t>Código de Receita Tab4020</t>
  </si>
  <si>
    <t>Nat.Rendimento.Tab4020</t>
  </si>
  <si>
    <t>ID Pgto/Mês EFDReinf</t>
  </si>
  <si>
    <t>ID Prédoc</t>
  </si>
  <si>
    <t>Verificação Alíquota</t>
  </si>
  <si>
    <t>Índice</t>
  </si>
  <si>
    <t>ID Verificação Prédoc</t>
  </si>
  <si>
    <t>Mês EFDReinf Orgão</t>
  </si>
  <si>
    <t>Valor Darf Verificado</t>
  </si>
  <si>
    <t>Conferência de Alíquota</t>
  </si>
  <si>
    <t>Conferência de UG Pagadora</t>
  </si>
  <si>
    <t>IDCredor/Recolhedor</t>
  </si>
  <si>
    <t>Conferência Alíquota</t>
  </si>
  <si>
    <t>ID Alíquota</t>
  </si>
  <si>
    <t>00000044365866000171</t>
  </si>
  <si>
    <t>302122</t>
  </si>
  <si>
    <t>DDF025</t>
  </si>
  <si>
    <t>6190</t>
  </si>
  <si>
    <t>1</t>
  </si>
  <si>
    <t>400</t>
  </si>
  <si>
    <t>1000000000</t>
  </si>
  <si>
    <t>Empenho do Exercício</t>
  </si>
  <si>
    <t>9,45</t>
  </si>
  <si>
    <t>17099</t>
  </si>
  <si>
    <t>Data PréDoc OK</t>
  </si>
  <si>
    <t>17033</t>
  </si>
  <si>
    <t>RET. TRIB. FED. SPgto do(s) Instr.(s) de Cobrança(s) núm.(s): 319073, Contrato nº: 00006/2024  - 07.432.517/0001-07 - SIMPRESS COMERCIO LOCACAO E SERVICOS LTDA, Proc.(s) núm.(s): 00261.004421/2025-03, do(s) fornecimento(s)/serviço(s)</t>
  </si>
  <si>
    <t>319073</t>
  </si>
  <si>
    <t>3021222025NP000188</t>
  </si>
  <si>
    <t>00261.004421/2025-03</t>
  </si>
  <si>
    <t>MEGA LICITACOES LTDA</t>
  </si>
  <si>
    <t>RET TRIB FED Pgto do(s) Instr.(s) de Cobrança(s) núm.(s): 000.737.999, Contrato nº: 00002/2023  - 57.142.978/0001-05 - BRASOFTWARE INFORMATICA LTDA, Proc.(s) núm.(s): 00261.004429/2025-61, do(s) fornecimento(s)/serviço(s) prestado(s)</t>
  </si>
  <si>
    <t>000.737.999</t>
  </si>
  <si>
    <t>3021222025NP000193</t>
  </si>
  <si>
    <t>00261.004429/2025-61</t>
  </si>
  <si>
    <t>PHONOWAY SISTEMAS LTDA</t>
  </si>
  <si>
    <t>TRIB FED - Pgto do(s) Instr.(s) de Cobrança(s) núm.(s): 8984424, Contrato nº: 00008/2022  - 07.522.669/0001-92 - NEOENERGIA DISTRIBUICAO BRASILIA S.A., Proc.(s) núm.(s): 00261.004556/2025-61.</t>
  </si>
  <si>
    <t>07522669000192</t>
  </si>
  <si>
    <t>6147</t>
  </si>
  <si>
    <t>1100106</t>
  </si>
  <si>
    <t>5,85</t>
  </si>
  <si>
    <t>3021222025NP000194</t>
  </si>
  <si>
    <t>00261.004556/2025-61</t>
  </si>
  <si>
    <t>NEOENERGIA DISTRIBUICAO BRASILIA S.A.</t>
  </si>
  <si>
    <t>17002</t>
  </si>
  <si>
    <t>RET TRIB FED Pgto do(s) Instr.(s) de Cobrança(s) núm.(s): 6653, Contrato nº: 00018/2024  - 10.334.879/0001-61 - 3CORP SERVICOS DE TECNOLOGIA LTDA., Proc.(s) núm.(s): 00261.004617/2025-90.</t>
  </si>
  <si>
    <t>10334879000161</t>
  </si>
  <si>
    <t>6653</t>
  </si>
  <si>
    <t>3021222025NP000195</t>
  </si>
  <si>
    <t>00261.004617/2025-90</t>
  </si>
  <si>
    <t>3CORP SERVICOS DE TECNOLOGIA LTDA.</t>
  </si>
  <si>
    <t>17029</t>
  </si>
  <si>
    <t>RET TRIB FED -Pgto do(s) Instr.(s) de Cobrança(s) núm.(s): 762211, Contrato nº: 00003/2023  - 33.683.111/0001-07 - SERVICO FEDERAL DE PROCESSAMENTO DE DADOS (SERPRO), Proc.(s) núm.(s): 00261.004606/2025-18.</t>
  </si>
  <si>
    <t>762211</t>
  </si>
  <si>
    <t>3021222025NP000196</t>
  </si>
  <si>
    <t>00261.004606/2025-18</t>
  </si>
  <si>
    <t>CROSSING COMERCIO E SERVICOS DE TECNOLOGIA LTDA</t>
  </si>
  <si>
    <t>RET TRIB FED -Pgto do(s) Instr.(s) de Cobrança(s) núm.(s): 246064,SEGURO Contrato nº: 00011/2024  - 06.064.175/0001-49 - AIRES TURISMO LTDA, Proc.(s) núm.(s): 00261.004583/2025-33.</t>
  </si>
  <si>
    <t>17846647000131</t>
  </si>
  <si>
    <t>6188</t>
  </si>
  <si>
    <t>246064</t>
  </si>
  <si>
    <t>7,05</t>
  </si>
  <si>
    <t>3021222025NP000197</t>
  </si>
  <si>
    <t>00261.004583/2025-33</t>
  </si>
  <si>
    <t>06064175000149</t>
  </si>
  <si>
    <t>AIRES TURISMO LTDA</t>
  </si>
  <si>
    <t>17026</t>
  </si>
  <si>
    <t>RET TRIB FED - Pgto do(s) Instr.(s) de Cobrança(s) núm.(s): 246063, Contrato nº: 00011/2024  - 06.064.175/0001-49 - AIRES TURISMO LTDA, Proc.(s) núm.(s): 00261.004583/2025-33.</t>
  </si>
  <si>
    <t>6175</t>
  </si>
  <si>
    <t>246063</t>
  </si>
  <si>
    <t>7,04</t>
  </si>
  <si>
    <t>3021222025NP000198</t>
  </si>
  <si>
    <t>R JUAREZ DE ALMEIDA</t>
  </si>
  <si>
    <t>17023</t>
  </si>
  <si>
    <t>RCS TECNOLOGIA S/A</t>
  </si>
  <si>
    <t>LAYOUT MOVEIS PARA ESCRITORIO LTDA</t>
  </si>
  <si>
    <t>NUCLEO BAIANO DE PSICOLOGIA APLICADA LTDA</t>
  </si>
  <si>
    <t>JCG SOLUCOES LTDA</t>
  </si>
  <si>
    <t>8850</t>
  </si>
  <si>
    <t>3,4</t>
  </si>
  <si>
    <t>MICROTECNICA INFORMATICA LTDA</t>
  </si>
  <si>
    <t>17024</t>
  </si>
  <si>
    <t>VGS SERVICOS DE ELABORACAO E COMERCIO LTDA.</t>
  </si>
  <si>
    <t>RET TRIB FED CSLL 1 - Pgto do(s) Instr.(s) de Cobrança(s) núm.(s): 246065, Contrato nº: 00011/2024  - 06.064.175/0001-49 - AIRES TURISMO LTDA, Proc.(s) núm.(s): 00261.004583/2025-33.</t>
  </si>
  <si>
    <t>6228</t>
  </si>
  <si>
    <t>246065</t>
  </si>
  <si>
    <t>3021222025NP000199</t>
  </si>
  <si>
    <t>REPREMIG REPRESENTACAO E COMERCIO DE MINAS GERAIS LTDA</t>
  </si>
  <si>
    <t>AmparadaporMedidaJudicial</t>
  </si>
  <si>
    <t>NACIONAL SERVICOS INTEGRADOS LTDA</t>
  </si>
  <si>
    <t>RET TRIB FED IR 2,40- Pgto do(s) Instr.(s) de Cobrança(s) núm.(s): 246065, Contrato nº: 00011/2024  - 06.064.175/0001-49 - AIRES TURISMO LTDA, Proc.(s) núm.(s): 00261.004583/2025-33.</t>
  </si>
  <si>
    <t>6256</t>
  </si>
  <si>
    <t>2,4</t>
  </si>
  <si>
    <t>TELTEC SOLUTIONS LTDA</t>
  </si>
  <si>
    <t>IRPJ</t>
  </si>
  <si>
    <t>WISEIT - SISTEMAS E INFORMATICA LTDA</t>
  </si>
  <si>
    <t>POSITIVO TECNOLOGIA S.A.</t>
  </si>
  <si>
    <t>RET TRIB FED - Pgto do(s) Instr.(s) de Cobrança(s) núm.(s): 246065, Contrato nº: 00011/2024  - 06.064.175/0001-49 - AIRES TURISMO LTDA, Proc.(s) núm.(s): 00261.004583/2025-33, do(s) fornecimento(s)/serviço(s) prestado(s) ao(s) mês(es)</t>
  </si>
  <si>
    <t>GRUPO MULTI S.A</t>
  </si>
  <si>
    <t>7,06</t>
  </si>
  <si>
    <t>TECNO2000 INDUSTRIA E COMERCIO LTDA</t>
  </si>
  <si>
    <t>M.L COMERCIO E SERVICOS LTDA</t>
  </si>
  <si>
    <t>3MRN SEGURANCA CIBERNETICA LTDA</t>
  </si>
  <si>
    <t>GRUPO MMX COMUNICACAO VISUAL LTDA</t>
  </si>
  <si>
    <t>RET. TRIB. FED. Pgto do(s) Instr.(s) de Cobrança(s) núm.(s): 0000956, Contrato nº: 00007/2022  - 38.054.508/0001-45 - FORTALEZA SERVICOS EMPRESARIAIS LTDA, Proc.(s) núm.(s): 00261.001316/2025-12, conforme TERMO DE RECONHECIMENTO.</t>
  </si>
  <si>
    <t>38054508000145</t>
  </si>
  <si>
    <t>NF0956-RD</t>
  </si>
  <si>
    <t>3021222025NP000200</t>
  </si>
  <si>
    <t>00261.001316/2025-12</t>
  </si>
  <si>
    <t>FORTALEZA SERVICOS EMPRESARIAIS LTDA</t>
  </si>
  <si>
    <t>RET. TRIB. FED. sobre Pgto do(s) Instr.(s) de Cobrança(s) núm.(s): 251, 252, Contrato nº: 00005/2024  - 02.316.044/0001-50 - RMC - LOCACAO DE VEICULOS E PRESTACAO DE SERVICOS LTDA, Proc.(s) núm.(s): 00261.004621/2025-58, do(s) forneci</t>
  </si>
  <si>
    <t>02316044000150</t>
  </si>
  <si>
    <t>251</t>
  </si>
  <si>
    <t>3021222025NP000202</t>
  </si>
  <si>
    <t>00261.004621/2025-58</t>
  </si>
  <si>
    <t>RMC - LOCACAO DE VEICULOS E PRESTACAO DE SERVICOS LTDA</t>
  </si>
  <si>
    <t>RET TRIB FED.Pgto do(s) Instr.(s) de Cobrança(s) núm.(s): 000.744.885, Contrato nº: 00002/2023  - 57.142.978/0001-05 - BRASOFTWARE INFORMATICA LTDA, Proc.(s) núm.(s): 00261.004846/2025-12, do(s) fornecimento(s)/serviço(s) prestado(s)</t>
  </si>
  <si>
    <t>000.744.885</t>
  </si>
  <si>
    <t>3021222025NP000203</t>
  </si>
  <si>
    <t>00261.004846/2025-12</t>
  </si>
  <si>
    <t>BSB LOCADORA DE VEICULOS LTDA</t>
  </si>
  <si>
    <t>RET TRIB FED Pgto do(s) Instr.(s) de Cobrança(s) núm.(s): 110219, 110447, Contrato nº: 00001/2022  - 00.320.523/0001-15 - ANTONIO VENANCIO DA SILVA EMPREENDIMENTOS IMOBILIARIOS LTDA, Proc.(s) núm.(s): 00261.004623/2025-47, do(s) fo</t>
  </si>
  <si>
    <t>110219</t>
  </si>
  <si>
    <t>3021222025RP000013</t>
  </si>
  <si>
    <t>00261.004623/2025-47</t>
  </si>
  <si>
    <t>DATA PRIVACY ENSINO LTDA</t>
  </si>
  <si>
    <t>17035</t>
  </si>
  <si>
    <t>Total</t>
  </si>
  <si>
    <t>Maio/2026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</si>
</sst>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5" formatCode="yyyy\-mm\-dd;@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9">
    <xf numFmtId="0" fontId="0" fillId="0" borderId="0" xfId="0"/>
    <xf numFmtId="0" fontId="0" fillId="2" borderId="0" xfId="0" applyFill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43" fontId="0" fillId="0" borderId="0" xfId="1" applyFont="1" applyFill="1" applyAlignment="1" applyProtection="1"/>
    <xf numFmtId="43" fontId="0" fillId="0" borderId="0" xfId="1" applyFont="1" applyFill="1" applyAlignment="1" applyProtection="1">
      <alignment horizontal="left" vertical="center"/>
    </xf>
    <xf numFmtId="43" fontId="0" fillId="0" borderId="0" xfId="1" applyFont="1" applyFill="1" applyAlignment="1" applyProtection="1">
      <alignment horizontal="center" vertical="center"/>
    </xf>
    <xf numFmtId="0" fontId="0" fillId="0" borderId="0" xfId="0" applyAlignment="1" applyProtection="1">
      <alignment horizontal="left"/>
      <protection locked="0"/>
    </xf>
    <xf numFmtId="43" fontId="0" fillId="0" borderId="0" xfId="1" applyFont="1" applyFill="1" applyProtection="1">
      <protection locked="0"/>
    </xf>
    <xf numFmtId="0" fontId="0" fillId="0" borderId="0" xfId="0" applyProtection="1">
      <protection locked="0"/>
    </xf>
    <xf numFmtId="0" fontId="0" fillId="2" borderId="0" xfId="0" applyFill="1" applyProtection="1">
      <protection locked="0"/>
    </xf>
    <xf numFmtId="43" fontId="0" fillId="0" borderId="0" xfId="1" applyFont="1" applyFill="1"/>
    <xf numFmtId="43" fontId="0" fillId="0" borderId="0" xfId="1" applyFont="1" applyFill="1" applyProtection="1"/>
    <xf numFmtId="0" fontId="0" fillId="0" borderId="0" xfId="0" applyAlignment="1">
      <alignment horizontal="left" vertical="center"/>
    </xf>
    <xf numFmtId="0" fontId="0" fillId="2" borderId="0" xfId="0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" fillId="0" borderId="0" xfId="0" applyFont="1"/>
    <xf numFmtId="0" fontId="0" fillId="0" borderId="0" xfId="0" applyAlignment="1" applyProtection="1">
      <alignment horizontal="center" vertical="center"/>
      <protection locked="0"/>
    </xf>
    <xf numFmtId="43" fontId="0" fillId="0" borderId="0" xfId="1" applyFont="1"/>
    <xf numFmtId="0" fontId="3" fillId="2" borderId="0" xfId="0" applyFont="1" applyFill="1"/>
    <xf numFmtId="14" fontId="2" fillId="0" borderId="0" xfId="0" applyNumberFormat="1" applyFont="1"/>
    <xf numFmtId="0" fontId="3" fillId="0" borderId="0" xfId="0" applyFont="1" applyAlignment="1" applyProtection="1">
      <alignment horizontal="center" vertical="center"/>
      <protection locked="0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3" fillId="0" borderId="0" xfId="0" applyFont="1"/>
    <xf numFmtId="43" fontId="3" fillId="0" borderId="0" xfId="1" applyFont="1" applyFill="1"/>
    <xf numFmtId="43" fontId="3" fillId="0" borderId="0" xfId="1" applyFont="1" applyFill="1" applyProtection="1"/>
    <xf numFmtId="0" fontId="3" fillId="0" borderId="0" xfId="0" applyFont="1" applyAlignment="1">
      <alignment horizontal="left" vertical="center"/>
    </xf>
    <xf numFmtId="0" fontId="3" fillId="0" borderId="0" xfId="0" applyFont="1" applyAlignment="1" applyProtection="1">
      <alignment horizontal="left"/>
      <protection locked="0"/>
    </xf>
    <xf numFmtId="0" fontId="3" fillId="0" borderId="0" xfId="0" applyFont="1" applyProtection="1">
      <protection locked="0"/>
    </xf>
    <xf numFmtId="0" fontId="3" fillId="2" borderId="0" xfId="0" applyFont="1" applyFill="1" applyProtection="1">
      <protection locked="0"/>
    </xf>
    <xf numFmtId="43" fontId="0" fillId="0" borderId="0" xfId="1" applyFont="1" applyAlignment="1">
      <alignment horizontal="center" vertical="center"/>
    </xf>
    <xf numFmtId="0" fontId="0" fillId="2" borderId="0" xfId="0" applyFill="1" applyAlignment="1">
      <alignment vertical="center" wrapText="1"/>
    </xf>
    <xf numFmtId="43" fontId="0" fillId="0" borderId="0" xfId="1" applyFont="1" applyFill="1" applyAlignment="1">
      <alignment horizontal="center" vertical="center" wrapText="1"/>
    </xf>
    <xf numFmtId="43" fontId="0" fillId="0" borderId="0" xfId="1" applyFont="1" applyFill="1" applyAlignment="1" applyProtection="1">
      <alignment horizontal="center" vertical="center" wrapText="1"/>
    </xf>
    <xf numFmtId="43" fontId="0" fillId="0" borderId="0" xfId="1" applyFont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43" fontId="0" fillId="3" borderId="0" xfId="1" applyFont="1" applyFill="1" applyAlignment="1" applyProtection="1">
      <alignment horizontal="left" vertical="center" wrapText="1"/>
      <protection locked="0"/>
    </xf>
    <xf numFmtId="43" fontId="0" fillId="3" borderId="0" xfId="1" applyFont="1" applyFill="1" applyAlignment="1" applyProtection="1">
      <alignment horizontal="center" vertical="center" wrapText="1"/>
      <protection locked="0"/>
    </xf>
    <xf numFmtId="0" fontId="0" fillId="3" borderId="0" xfId="0" applyFill="1" applyAlignment="1" applyProtection="1">
      <alignment horizontal="center" vertical="center" wrapText="1"/>
      <protection locked="0"/>
    </xf>
    <xf numFmtId="14" fontId="0" fillId="0" borderId="0" xfId="0" applyNumberFormat="1"/>
    <xf numFmtId="0" fontId="0" fillId="0" borderId="0" xfId="1" applyNumberFormat="1" applyFont="1" applyFill="1" applyProtection="1"/>
    <xf numFmtId="0" fontId="0" fillId="0" borderId="0" xfId="1" applyNumberFormat="1" applyFont="1"/>
    <xf numFmtId="0" fontId="0" fillId="0" borderId="0" xfId="0" applyAlignment="1">
      <alignment horizontal="left"/>
    </xf>
    <xf numFmtId="43" fontId="0" fillId="0" borderId="0" xfId="1" applyFont="1" applyFill="1" applyAlignment="1" applyProtection="1">
      <alignment horizontal="left"/>
      <protection locked="0"/>
    </xf>
    <xf numFmtId="0" fontId="0" fillId="0" borderId="0" xfId="0" applyAlignment="1" applyProtection="1">
      <alignment horizontal="center"/>
      <protection locked="0"/>
    </xf>
    <xf numFmtId="43" fontId="0" fillId="0" borderId="0" xfId="0" applyNumberFormat="1" applyAlignment="1" applyProtection="1">
      <alignment horizontal="center"/>
      <protection locked="0"/>
    </xf>
    <xf numFmtId="43" fontId="0" fillId="0" borderId="0" xfId="0" applyNumberFormat="1"/>
    <xf numFmtId="1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left"/>
    </xf>
    <xf numFmtId="0" fontId="4" fillId="0" borderId="0" xfId="0" applyFont="1"/>
    <xf numFmtId="1" fontId="4" fillId="0" borderId="0" xfId="0" applyNumberFormat="1" applyFont="1" applyAlignment="1">
      <alignment horizontal="center" vertical="center"/>
    </xf>
    <xf numFmtId="1" fontId="4" fillId="0" borderId="0" xfId="0" applyNumberFormat="1" applyFont="1" applyAlignment="1">
      <alignment horizontal="left"/>
    </xf>
    <xf numFmtId="43" fontId="0" fillId="0" borderId="0" xfId="0" applyNumberFormat="1" applyProtection="1">
      <protection locked="0"/>
    </xf>
    <xf numFmtId="43" fontId="0" fillId="0" borderId="0" xfId="1" applyFont="1" applyAlignment="1" applyProtection="1">
      <alignment horizontal="center" vertical="center"/>
      <protection locked="0"/>
    </xf>
    <xf numFmtId="0" fontId="0" fillId="0" borderId="0" xfId="0" applyAlignment="1" applyProtection="1">
      <alignment horizontal="left" vertical="center"/>
      <protection locked="0"/>
    </xf>
    <xf numFmtId="43" fontId="0" fillId="0" borderId="0" xfId="1" applyFont="1" applyProtection="1">
      <protection locked="0"/>
    </xf>
    <xf numFmtId="17" fontId="0" fillId="0" borderId="0" xfId="0" quotePrefix="1" applyNumberFormat="1" applyAlignment="1">
      <alignment horizontal="center" vertical="center"/>
    </xf>
    <xf numFmtId="165" fontId="0" fillId="0" borderId="0" xfId="0" applyNumberFormat="1" applyAlignment="1">
      <alignment horizontal="center"/>
    </xf>
  </cellXfs>
  <cellStyles count="2">
    <cellStyle name="Normal" xfId="0" builtinId="0"/>
    <cellStyle name="Vírgula" xfId="1" builtinId="3"/>
  </cellStyles>
  <dxfs count="89">
    <dxf>
      <numFmt numFmtId="165" formatCode="yyyy\-mm\-dd;@"/>
      <alignment horizontal="center" vertical="bottom" textRotation="0" wrapText="0" indent="0" justifyLastLine="0" shrinkToFit="0" readingOrder="0"/>
    </dxf>
    <dxf>
      <numFmt numFmtId="165" formatCode="yyyy\-mm\-dd;@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protection locked="0" hidden="0"/>
    </dxf>
    <dxf>
      <alignment horizontal="center" vertical="bottom" textRotation="0" wrapText="0" indent="0" justifyLastLine="0" shrinkToFit="0" readingOrder="0"/>
      <protection locked="0" hidden="0"/>
    </dxf>
    <dxf>
      <alignment horizontal="center" vertical="bottom" textRotation="0" wrapText="0" indent="0" justifyLastLine="0" shrinkToFit="0" readingOrder="0"/>
      <protection locked="0" hidden="0"/>
    </dxf>
    <dxf>
      <alignment horizontal="center" vertical="bottom" textRotation="0" wrapText="0" indent="0" justifyLastLine="0" shrinkToFit="0" readingOrder="0"/>
      <protection locked="0" hidden="0"/>
    </dxf>
    <dxf>
      <alignment horizontal="center" vertical="bottom" textRotation="0" wrapText="0" indent="0" justifyLastLine="0" shrinkToFit="0" readingOrder="0"/>
      <protection locked="0" hidden="0"/>
    </dxf>
    <dxf>
      <alignment horizontal="center" vertical="bottom" textRotation="0" wrapText="0" indent="0" justifyLastLine="0" shrinkToFit="0" readingOrder="0"/>
      <protection locked="0" hidden="0"/>
    </dxf>
    <dxf>
      <alignment horizontal="center" vertical="bottom" textRotation="0" wrapText="0" indent="0" justifyLastLine="0" shrinkToFit="0" readingOrder="0"/>
      <protection locked="0" hidden="0"/>
    </dxf>
    <dxf>
      <alignment horizontal="left" vertical="bottom" textRotation="0" wrapText="0" indent="0" justifyLastLine="0" shrinkToFit="0" readingOrder="0"/>
      <protection locked="0" hidden="0"/>
    </dxf>
    <dxf>
      <alignment horizontal="center" vertical="bottom" textRotation="0" wrapText="0" indent="0" justifyLastLine="0" shrinkToFit="0" readingOrder="0"/>
      <protection locked="0" hidden="0"/>
    </dxf>
    <dxf>
      <alignment horizontal="center" vertical="bottom" textRotation="0" wrapText="0" indent="0" justifyLastLine="0" shrinkToFit="0" readingOrder="0"/>
      <protection locked="0" hidden="0"/>
    </dxf>
    <dxf>
      <alignment horizontal="left" vertical="bottom" textRotation="0" wrapText="0" indent="0" justifyLastLine="0" shrinkToFit="0" readingOrder="0"/>
      <protection locked="0" hidden="0"/>
    </dxf>
    <dxf>
      <alignment horizontal="center" vertical="bottom" textRotation="0" wrapText="0" indent="0" justifyLastLine="0" shrinkToFit="0" readingOrder="0"/>
      <protection locked="0" hidden="0"/>
    </dxf>
    <dxf>
      <protection locked="0" hidden="0"/>
    </dxf>
    <dxf>
      <alignment horizontal="center" vertical="bottom" textRotation="0" wrapText="0" indent="0" justifyLastLine="0" shrinkToFit="0" readingOrder="0"/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alignment horizontal="center" vertical="center" textRotation="0" wrapText="0" indent="0" justifyLastLine="0" shrinkToFit="0" readingOrder="0"/>
      <protection locked="0" hidden="0"/>
    </dxf>
    <dxf>
      <alignment horizontal="center" vertical="bottom" textRotation="0" wrapText="0" indent="0" justifyLastLine="0" shrinkToFit="0" readingOrder="0"/>
      <protection locked="0" hidden="0"/>
    </dxf>
    <dxf>
      <alignment horizontal="center" vertical="center" textRotation="0" wrapText="0" indent="0" justifyLastLine="0" shrinkToFit="0" readingOrder="0"/>
      <protection locked="0" hidden="0"/>
    </dxf>
    <dxf>
      <alignment horizontal="left" vertical="center" textRotation="0" wrapText="0" indent="0" justifyLastLine="0" shrinkToFit="0" readingOrder="0"/>
    </dxf>
    <dxf>
      <protection locked="0" hidden="0"/>
    </dxf>
    <dxf>
      <protection locked="0" hidden="0"/>
    </dxf>
    <dxf>
      <protection locked="0" hidden="0"/>
    </dxf>
    <dxf>
      <alignment horizontal="center" vertical="bottom" textRotation="0" wrapText="0" indent="0" justifyLastLine="0" shrinkToFit="0" readingOrder="0"/>
      <protection locked="0" hidden="0"/>
    </dxf>
    <dxf>
      <alignment horizontal="center" vertical="center" textRotation="0" wrapText="0" indent="0" justifyLastLine="0" shrinkToFit="0" readingOrder="0"/>
      <protection locked="0" hidden="0"/>
    </dxf>
    <dxf>
      <protection locked="0" hidden="0"/>
    </dxf>
    <dxf>
      <numFmt numFmtId="35" formatCode="_-* #,##0.00_-;\-* #,##0.00_-;_-* &quot;-&quot;??_-;_-@_-"/>
    </dxf>
    <dxf>
      <protection locked="0" hidden="0"/>
    </dxf>
    <dxf>
      <numFmt numFmtId="35" formatCode="_-* #,##0.00_-;\-* #,##0.00_-;_-* &quot;-&quot;??_-;_-@_-"/>
      <protection locked="0" hidden="0"/>
    </dxf>
    <dxf>
      <protection locked="0" hidden="0"/>
    </dxf>
    <dxf>
      <protection locked="0" hidden="0"/>
    </dxf>
    <dxf>
      <alignment horizontal="center" vertical="center" textRotation="0" wrapText="0" indent="0" justifyLastLine="0" shrinkToFit="0" readingOrder="0"/>
      <protection locked="0" hidden="0"/>
    </dxf>
    <dxf>
      <protection locked="0" hidden="0"/>
    </dxf>
    <dxf>
      <alignment horizontal="center" vertical="bottom" textRotation="0" wrapText="0" indent="0" justifyLastLine="0" shrinkToFit="0" readingOrder="0"/>
      <protection locked="0" hidden="0"/>
    </dxf>
    <dxf>
      <alignment horizontal="center" vertical="center" textRotation="0" wrapText="0" indent="0" justifyLastLine="0" shrinkToFit="0" readingOrder="0"/>
      <protection locked="0" hidden="0"/>
    </dxf>
    <dxf>
      <protection locked="0" hidden="0"/>
    </dxf>
    <dxf>
      <alignment horizontal="center" vertical="center" textRotation="0" wrapText="0" indent="0" justifyLastLine="0" shrinkToFit="0" readingOrder="0"/>
      <protection locked="0" hidden="0"/>
    </dxf>
    <dxf>
      <alignment horizontal="center" vertical="center" textRotation="0" wrapText="0" indent="0" justifyLastLine="0" shrinkToFit="0" readingOrder="0"/>
      <protection locked="0" hidden="0"/>
    </dxf>
    <dxf>
      <alignment horizontal="center" vertical="bottom" textRotation="0" wrapText="0" indent="0" justifyLastLine="0" shrinkToFit="0" readingOrder="0"/>
      <protection locked="0" hidden="0"/>
    </dxf>
    <dxf>
      <alignment horizontal="center" vertical="bottom" textRotation="0" wrapText="0" indent="0" justifyLastLine="0" shrinkToFit="0" readingOrder="0"/>
      <protection locked="0" hidden="0"/>
    </dxf>
    <dxf>
      <alignment horizontal="center" vertical="center" textRotation="0" wrapText="0" indent="0" justifyLastLine="0" shrinkToFit="0" readingOrder="0"/>
      <protection locked="0" hidden="0"/>
    </dxf>
    <dxf>
      <alignment horizontal="center" vertical="center" textRotation="0" wrapText="0" indent="0" justifyLastLine="0" shrinkToFit="0" readingOrder="0"/>
      <protection locked="0" hidden="0"/>
    </dxf>
    <dxf>
      <protection locked="0" hidden="0"/>
    </dxf>
    <dxf>
      <protection locked="0" hidden="0"/>
    </dxf>
    <dxf>
      <numFmt numFmtId="22" formatCode="mmm/yy"/>
      <alignment horizontal="center" vertical="center" textRotation="0" wrapText="0" indent="0" justifyLastLine="0" shrinkToFit="0" readingOrder="0"/>
    </dxf>
    <dxf>
      <numFmt numFmtId="22" formatCode="mmm/yy"/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  <protection locked="0" hidden="0"/>
    </dxf>
    <dxf>
      <alignment horizontal="center" vertical="bottom" textRotation="0" wrapText="0" indent="0" justifyLastLine="0" shrinkToFit="0" readingOrder="0"/>
      <protection locked="0" hidden="0"/>
    </dxf>
    <dxf>
      <numFmt numFmtId="35" formatCode="_-* #,##0.00_-;\-* #,##0.00_-;_-* &quot;-&quot;??_-;_-@_-"/>
      <alignment horizontal="center" vertical="bottom" textRotation="0" wrapText="0" indent="0" justifyLastLine="0" shrinkToFit="0" readingOrder="0"/>
      <protection locked="0" hidden="0"/>
    </dxf>
    <dxf>
      <numFmt numFmtId="35" formatCode="_-* #,##0.00_-;\-* #,##0.00_-;_-* &quot;-&quot;??_-;_-@_-"/>
      <alignment horizontal="center" vertical="bottom" textRotation="0" wrapText="0" indent="0" justifyLastLine="0" shrinkToFit="0" readingOrder="0"/>
      <protection locked="0" hidden="0"/>
    </dxf>
    <dxf>
      <numFmt numFmtId="35" formatCode="_-* #,##0.00_-;\-* #,##0.00_-;_-* &quot;-&quot;??_-;_-@_-"/>
      <alignment horizontal="center" vertical="bottom" textRotation="0" wrapText="0" indent="0" justifyLastLine="0" shrinkToFit="0" readingOrder="0"/>
      <protection locked="0" hidden="0"/>
    </dxf>
    <dxf>
      <numFmt numFmtId="35" formatCode="_-* #,##0.00_-;\-* #,##0.00_-;_-* &quot;-&quot;??_-;_-@_-"/>
      <alignment horizontal="center" vertical="bottom" textRotation="0" wrapText="0" indent="0" justifyLastLine="0" shrinkToFit="0" readingOrder="0"/>
      <protection locked="0" hidden="0"/>
    </dxf>
    <dxf>
      <numFmt numFmtId="35" formatCode="_-* #,##0.00_-;\-* #,##0.00_-;_-* &quot;-&quot;??_-;_-@_-"/>
      <alignment horizontal="center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protection locked="0" hidden="0"/>
    </dxf>
    <dxf>
      <alignment horizontal="lef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35" formatCode="_-* #,##0.00_-;\-* #,##0.0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9" formatCode="dd/mm/yyyy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protection locked="0" hidden="0"/>
    </dxf>
    <dxf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/>
        <strike val="0"/>
        <outline val="0"/>
        <shadow val="0"/>
        <u val="none"/>
        <vertAlign val="baseline"/>
        <sz val="14"/>
        <color theme="1"/>
        <name val="Calibri"/>
        <scheme val="minor"/>
      </font>
      <numFmt numFmtId="19" formatCode="dd/mm/yyyy"/>
      <fill>
        <patternFill patternType="none">
          <fgColor indexed="64"/>
          <bgColor auto="1"/>
        </patternFill>
      </fill>
    </dxf>
    <dxf>
      <font>
        <b/>
        <strike val="0"/>
        <outline val="0"/>
        <shadow val="0"/>
        <u val="none"/>
        <vertAlign val="baseline"/>
        <sz val="14"/>
        <color theme="1"/>
        <name val="Calibri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4"/>
        <color theme="1"/>
        <name val="Calibri"/>
        <scheme val="minor"/>
      </font>
      <fill>
        <patternFill patternType="solid">
          <fgColor indexed="64"/>
          <bgColor theme="0" tint="-0.14999847407452621"/>
        </patternFill>
      </fill>
    </dxf>
    <dxf>
      <font>
        <strike val="0"/>
        <outline val="0"/>
        <shadow val="0"/>
        <u val="none"/>
        <vertAlign val="baseline"/>
        <sz val="14"/>
        <color theme="1"/>
        <name val="Calibri"/>
        <scheme val="minor"/>
      </font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  <alignment horizontal="center" vertical="center" textRotation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INCAGREG!A1"/><Relationship Id="rId2" Type="http://schemas.openxmlformats.org/officeDocument/2006/relationships/hyperlink" Target="#'Escritura&#231;&#227;o EFD'!A1"/><Relationship Id="rId1" Type="http://schemas.openxmlformats.org/officeDocument/2006/relationships/hyperlink" Target="#'Confer&#234;ncia Geral'!A1"/><Relationship Id="rId4" Type="http://schemas.openxmlformats.org/officeDocument/2006/relationships/hyperlink" Target="#'Relat&#243;rio Base'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3735</xdr:colOff>
      <xdr:row>9</xdr:row>
      <xdr:rowOff>133357</xdr:rowOff>
    </xdr:to>
    <xdr:grpSp>
      <xdr:nvGrpSpPr>
        <xdr:cNvPr id="2" name="Agrupar 1">
          <a:extLst>
            <a:ext uri="{FF2B5EF4-FFF2-40B4-BE49-F238E27FC236}">
              <a16:creationId xmlns:a16="http://schemas.microsoft.com/office/drawing/2014/main" id="{1356FD93-EFF8-4FE4-89A2-B1BAF655E31A}"/>
            </a:ext>
          </a:extLst>
        </xdr:cNvPr>
        <xdr:cNvGrpSpPr/>
      </xdr:nvGrpSpPr>
      <xdr:grpSpPr>
        <a:xfrm>
          <a:off x="0" y="0"/>
          <a:ext cx="2105025" cy="2396497"/>
          <a:chOff x="0" y="0"/>
          <a:chExt cx="2106855" cy="3958597"/>
        </a:xfrm>
      </xdr:grpSpPr>
      <xdr:sp macro="" textlink="">
        <xdr:nvSpPr>
          <xdr:cNvPr id="3" name="Retângulo 2">
            <a:extLst>
              <a:ext uri="{FF2B5EF4-FFF2-40B4-BE49-F238E27FC236}">
                <a16:creationId xmlns:a16="http://schemas.microsoft.com/office/drawing/2014/main" id="{B9D599AD-D0BB-469A-A887-A485C98C0894}"/>
              </a:ext>
            </a:extLst>
          </xdr:cNvPr>
          <xdr:cNvSpPr/>
        </xdr:nvSpPr>
        <xdr:spPr>
          <a:xfrm>
            <a:off x="0" y="17125"/>
            <a:ext cx="2106855" cy="3941472"/>
          </a:xfrm>
          <a:prstGeom prst="rect">
            <a:avLst/>
          </a:prstGeom>
          <a:solidFill>
            <a:schemeClr val="accent6">
              <a:lumMod val="50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4" name="Retângulo: Cantos Superiores Arredondados 3">
            <a:extLst>
              <a:ext uri="{FF2B5EF4-FFF2-40B4-BE49-F238E27FC236}">
                <a16:creationId xmlns:a16="http://schemas.microsoft.com/office/drawing/2014/main" id="{4742CC46-3190-466B-94A9-1A8FA08333DC}"/>
              </a:ext>
            </a:extLst>
          </xdr:cNvPr>
          <xdr:cNvSpPr/>
        </xdr:nvSpPr>
        <xdr:spPr>
          <a:xfrm rot="16200000">
            <a:off x="-862098" y="879680"/>
            <a:ext cx="3728957" cy="1969598"/>
          </a:xfrm>
          <a:prstGeom prst="round2SameRect">
            <a:avLst/>
          </a:prstGeom>
          <a:solidFill>
            <a:schemeClr val="accent6">
              <a:lumMod val="60000"/>
              <a:lumOff val="40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5" name="Retângulo: Cantos Superiores Arredondados 4">
            <a:extLst>
              <a:ext uri="{FF2B5EF4-FFF2-40B4-BE49-F238E27FC236}">
                <a16:creationId xmlns:a16="http://schemas.microsoft.com/office/drawing/2014/main" id="{34FCD221-573B-44D0-9B45-015267E4C960}"/>
              </a:ext>
            </a:extLst>
          </xdr:cNvPr>
          <xdr:cNvSpPr/>
        </xdr:nvSpPr>
        <xdr:spPr>
          <a:xfrm rot="16200000">
            <a:off x="857978" y="1652851"/>
            <a:ext cx="335390" cy="1924343"/>
          </a:xfrm>
          <a:prstGeom prst="round2SameRect">
            <a:avLst/>
          </a:prstGeom>
          <a:solidFill>
            <a:schemeClr val="accent6">
              <a:lumMod val="20000"/>
              <a:lumOff val="80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6" name="Retângulo: Cantos Superiores Arredondados 5">
            <a:extLst>
              <a:ext uri="{FF2B5EF4-FFF2-40B4-BE49-F238E27FC236}">
                <a16:creationId xmlns:a16="http://schemas.microsoft.com/office/drawing/2014/main" id="{C931A598-58E1-4C6B-A5A8-2FC044B959AB}"/>
              </a:ext>
            </a:extLst>
          </xdr:cNvPr>
          <xdr:cNvSpPr/>
        </xdr:nvSpPr>
        <xdr:spPr>
          <a:xfrm rot="16200000">
            <a:off x="857027" y="1139898"/>
            <a:ext cx="330607" cy="1930764"/>
          </a:xfrm>
          <a:prstGeom prst="round2SameRect">
            <a:avLst/>
          </a:prstGeom>
          <a:solidFill>
            <a:schemeClr val="accent6">
              <a:lumMod val="20000"/>
              <a:lumOff val="80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7" name="CaixaDeTexto 6">
            <a:hlinkClick xmlns:r="http://schemas.openxmlformats.org/officeDocument/2006/relationships" r:id="rId1"/>
            <a:extLst>
              <a:ext uri="{FF2B5EF4-FFF2-40B4-BE49-F238E27FC236}">
                <a16:creationId xmlns:a16="http://schemas.microsoft.com/office/drawing/2014/main" id="{11A3B678-C1B1-4C17-B94E-FCEC7D5C8923}"/>
              </a:ext>
            </a:extLst>
          </xdr:cNvPr>
          <xdr:cNvSpPr txBox="1"/>
        </xdr:nvSpPr>
        <xdr:spPr>
          <a:xfrm>
            <a:off x="272645" y="1951212"/>
            <a:ext cx="1705797" cy="239758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r"/>
            <a:r>
              <a:rPr lang="pt-BR" sz="1400" b="1" baseline="0"/>
              <a:t>Conferência Geral</a:t>
            </a:r>
            <a:endParaRPr lang="pt-BR" sz="1400" b="1"/>
          </a:p>
        </xdr:txBody>
      </xdr:sp>
      <xdr:sp macro="" textlink="">
        <xdr:nvSpPr>
          <xdr:cNvPr id="8" name="Retângulo: Cantos Superiores Arredondados 7">
            <a:extLst>
              <a:ext uri="{FF2B5EF4-FFF2-40B4-BE49-F238E27FC236}">
                <a16:creationId xmlns:a16="http://schemas.microsoft.com/office/drawing/2014/main" id="{352C307F-9BFE-4CF5-B3E9-A386AF536801}"/>
              </a:ext>
            </a:extLst>
          </xdr:cNvPr>
          <xdr:cNvSpPr/>
        </xdr:nvSpPr>
        <xdr:spPr>
          <a:xfrm rot="16200000">
            <a:off x="848645" y="647283"/>
            <a:ext cx="334714" cy="1934887"/>
          </a:xfrm>
          <a:prstGeom prst="round2SameRect">
            <a:avLst/>
          </a:prstGeom>
          <a:solidFill>
            <a:schemeClr val="accent6">
              <a:lumMod val="20000"/>
              <a:lumOff val="80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9" name="CaixaDeTexto 8">
            <a:hlinkClick xmlns:r="http://schemas.openxmlformats.org/officeDocument/2006/relationships" r:id="rId2"/>
            <a:extLst>
              <a:ext uri="{FF2B5EF4-FFF2-40B4-BE49-F238E27FC236}">
                <a16:creationId xmlns:a16="http://schemas.microsoft.com/office/drawing/2014/main" id="{7BEC7F4F-46CB-4E21-9038-90AED47248FC}"/>
              </a:ext>
            </a:extLst>
          </xdr:cNvPr>
          <xdr:cNvSpPr txBox="1"/>
        </xdr:nvSpPr>
        <xdr:spPr>
          <a:xfrm>
            <a:off x="275929" y="2495773"/>
            <a:ext cx="1705797" cy="24062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r"/>
            <a:r>
              <a:rPr lang="pt-BR" sz="1400" b="1" baseline="0"/>
              <a:t>Tabela Escrituração</a:t>
            </a:r>
            <a:endParaRPr lang="pt-BR" sz="1400" b="1"/>
          </a:p>
        </xdr:txBody>
      </xdr:sp>
      <xdr:sp macro="" textlink="">
        <xdr:nvSpPr>
          <xdr:cNvPr id="10" name="CaixaDeTexto 9">
            <a:hlinkClick xmlns:r="http://schemas.openxmlformats.org/officeDocument/2006/relationships" r:id="rId3"/>
            <a:extLst>
              <a:ext uri="{FF2B5EF4-FFF2-40B4-BE49-F238E27FC236}">
                <a16:creationId xmlns:a16="http://schemas.microsoft.com/office/drawing/2014/main" id="{0AB9A641-3092-47EC-B639-9F0B0003492C}"/>
              </a:ext>
            </a:extLst>
          </xdr:cNvPr>
          <xdr:cNvSpPr txBox="1"/>
        </xdr:nvSpPr>
        <xdr:spPr>
          <a:xfrm>
            <a:off x="117815" y="1510538"/>
            <a:ext cx="1868418" cy="21734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r"/>
            <a:r>
              <a:rPr lang="pt-BR" sz="1400" b="1" baseline="0"/>
              <a:t>Valor INCAGREG</a:t>
            </a:r>
          </a:p>
          <a:p>
            <a:pPr algn="r"/>
            <a:endParaRPr lang="pt-BR" sz="1400" b="1" baseline="0"/>
          </a:p>
          <a:p>
            <a:pPr algn="r"/>
            <a:endParaRPr lang="pt-BR" sz="1400" b="1" baseline="0"/>
          </a:p>
          <a:p>
            <a:pPr algn="r"/>
            <a:endParaRPr lang="pt-BR" sz="1400" b="1" baseline="0"/>
          </a:p>
          <a:p>
            <a:pPr algn="r"/>
            <a:endParaRPr lang="pt-BR" sz="1400" b="1" baseline="0"/>
          </a:p>
          <a:p>
            <a:pPr algn="r"/>
            <a:endParaRPr lang="pt-BR" sz="1400" b="1"/>
          </a:p>
        </xdr:txBody>
      </xdr:sp>
      <xdr:sp macro="" textlink="">
        <xdr:nvSpPr>
          <xdr:cNvPr id="11" name="Retângulo: Cantos Superiores Arredondados 10">
            <a:extLst>
              <a:ext uri="{FF2B5EF4-FFF2-40B4-BE49-F238E27FC236}">
                <a16:creationId xmlns:a16="http://schemas.microsoft.com/office/drawing/2014/main" id="{C4AFC38C-B8C7-4813-8EB1-08D965D9D2CD}"/>
              </a:ext>
            </a:extLst>
          </xdr:cNvPr>
          <xdr:cNvSpPr/>
        </xdr:nvSpPr>
        <xdr:spPr>
          <a:xfrm rot="16200000">
            <a:off x="851876" y="132456"/>
            <a:ext cx="333684" cy="1934887"/>
          </a:xfrm>
          <a:prstGeom prst="round2SameRect">
            <a:avLst/>
          </a:prstGeom>
          <a:solidFill>
            <a:schemeClr val="accent6">
              <a:lumMod val="20000"/>
              <a:lumOff val="80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12" name="CaixaDeTexto 11">
            <a:hlinkClick xmlns:r="http://schemas.openxmlformats.org/officeDocument/2006/relationships" r:id="rId4"/>
            <a:extLst>
              <a:ext uri="{FF2B5EF4-FFF2-40B4-BE49-F238E27FC236}">
                <a16:creationId xmlns:a16="http://schemas.microsoft.com/office/drawing/2014/main" id="{B3E29F35-28FD-42F3-B911-F870D8697FB6}"/>
              </a:ext>
            </a:extLst>
          </xdr:cNvPr>
          <xdr:cNvSpPr txBox="1"/>
        </xdr:nvSpPr>
        <xdr:spPr>
          <a:xfrm>
            <a:off x="571872" y="934511"/>
            <a:ext cx="1325657" cy="26015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r"/>
            <a:r>
              <a:rPr lang="pt-BR" sz="1400" b="1"/>
              <a:t>Planilha</a:t>
            </a:r>
            <a:r>
              <a:rPr lang="pt-BR" sz="1400" b="1" baseline="0"/>
              <a:t> Base</a:t>
            </a:r>
          </a:p>
          <a:p>
            <a:pPr algn="r"/>
            <a:endParaRPr lang="pt-BR" sz="1400" b="1" baseline="0"/>
          </a:p>
          <a:p>
            <a:pPr algn="r"/>
            <a:endParaRPr lang="pt-BR" sz="1400" b="1" baseline="0"/>
          </a:p>
          <a:p>
            <a:pPr algn="r"/>
            <a:endParaRPr lang="pt-BR" sz="1400" b="1" baseline="0"/>
          </a:p>
          <a:p>
            <a:pPr algn="r"/>
            <a:endParaRPr lang="pt-BR" sz="1400" b="1" baseline="0"/>
          </a:p>
          <a:p>
            <a:pPr algn="r"/>
            <a:endParaRPr lang="pt-BR" sz="1400" b="1"/>
          </a:p>
        </xdr:txBody>
      </xdr:sp>
    </xdr:grpSp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adjustColumnWidth="0" connectionId="6" xr16:uid="{B89A26E0-315D-4C9C-BF99-823F6DFFF761}" autoFormatId="16" applyNumberFormats="0" applyBorderFormats="0" applyFontFormats="0" applyPatternFormats="0" applyAlignmentFormats="0" applyWidthHeightFormats="0">
  <queryTableRefresh nextId="60" unboundColumnsRight="8">
    <queryTableFields count="50">
      <queryTableField id="1" name="Observação Pré-Doc DARF" tableColumnId="1"/>
      <queryTableField id="2" name="CNPJ da Unidae Pagadora" tableColumnId="2"/>
      <queryTableField id="3" name="UG Pagadora" tableColumnId="3"/>
      <queryTableField id="4" name="UG Emitente" tableColumnId="4"/>
      <queryTableField id="5" name="Data do Vencimento" tableColumnId="5"/>
      <queryTableField id="6" name="Data do Pagamento" tableColumnId="6"/>
      <queryTableField id="7" name="Situação" tableColumnId="7"/>
      <queryTableField id="8" name="Recolhedor Darf" tableColumnId="8"/>
      <queryTableField id="9" name="Per.Apuração do Pre-Doc" tableColumnId="9"/>
      <queryTableField id="10" name="Código DARF SIAFI" tableColumnId="10"/>
      <queryTableField id="11" name="Nat.Rendimento Darf" tableColumnId="11"/>
      <queryTableField id="12" name="Recurso.Pre-Doc" tableColumnId="12"/>
      <queryTableField id="13" name="Vinculação" tableColumnId="13"/>
      <queryTableField id="14" name="Fonte Recursos Detalhada" tableColumnId="14"/>
      <queryTableField id="15" name="Base de Cálculo Darf" tableColumnId="15"/>
      <queryTableField id="16" name="Valor Receita Darf" tableColumnId="16"/>
      <queryTableField id="17" name="EmpenhoVinc.Dedução" tableColumnId="17"/>
      <queryTableField id="55" name="numDocOrigem" tableColumnId="48"/>
      <queryTableField id="56" name="Valor Doc Origem" tableColumnId="49"/>
      <queryTableField id="18" name="Verificação de Base/Dedução" tableColumnId="18"/>
      <queryTableField id="19" name="Nºdoc.Hábil" tableColumnId="19"/>
      <queryTableField id="20" name="Data OB Pgto Fornecedor" tableColumnId="20"/>
      <queryTableField id="21" name="Processo Sei" tableColumnId="21"/>
      <queryTableField id="22" name="Credor" tableColumnId="22"/>
      <queryTableField id="23" name="Favorecido do Empenho" tableColumnId="23"/>
      <queryTableField id="41" name="Alíquota Tab.EFDReinf" tableColumnId="41"/>
      <queryTableField id="25" name="Mês Pgto Fornecedor" tableColumnId="25"/>
      <queryTableField id="26" name="Mês Pré-Doc" tableColumnId="26"/>
      <queryTableField id="27" name="Mês Ref. EFDReinf" tableColumnId="27"/>
      <queryTableField id="28" name="IR" tableColumnId="28"/>
      <queryTableField id="29" name="AGREGADO" tableColumnId="29"/>
      <queryTableField id="30" name="CSLL" tableColumnId="30"/>
      <queryTableField id="32" name="PIS/PASEP" tableColumnId="32"/>
      <queryTableField id="33" name="COFINS" tableColumnId="33"/>
      <queryTableField id="31" name="Código Darf SIAFI/Tabela Código 4020" tableColumnId="31"/>
      <queryTableField id="34" name="Tributo" tableColumnId="34"/>
      <queryTableField id="35" name="Código de Receita Tab4020" tableColumnId="35"/>
      <queryTableField id="36" name="Nat.Rendimento.Tab4020" tableColumnId="36"/>
      <queryTableField id="37" name="ID Pgto/Mês EFDReinf" tableColumnId="37"/>
      <queryTableField id="38" name="ID Prédoc" tableColumnId="38"/>
      <queryTableField id="39" name="Verificação Alíquota" tableColumnId="39"/>
      <queryTableField id="43" name="Índice" tableColumnId="24"/>
      <queryTableField id="40" dataBound="0" tableColumnId="40"/>
      <queryTableField id="44" dataBound="0" tableColumnId="42"/>
      <queryTableField id="47" dataBound="0" tableColumnId="43"/>
      <queryTableField id="49" dataBound="0" tableColumnId="45"/>
      <queryTableField id="50" dataBound="0" tableColumnId="46"/>
      <queryTableField id="53" dataBound="0" tableColumnId="44"/>
      <queryTableField id="54" dataBound="0" tableColumnId="47"/>
      <queryTableField id="59" dataBound="0" tableColumnId="50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0B4BFC1-A1C8-4CF6-8CC9-B81FCB1A5DC3}" name="MêsDeReferênciaEFDReinf" displayName="MêsDeReferênciaEFDReinf" ref="B4:D6" totalsRowShown="0" headerRowDxfId="88" dataDxfId="87">
  <autoFilter ref="B4:D6" xr:uid="{D63837A9-89DA-4AC0-8CBE-769606418A98}"/>
  <tableColumns count="3">
    <tableColumn id="1" xr3:uid="{067F9B2E-9792-40B5-BE3E-7C580CFC0E01}" name="Classificação Tributária" dataDxfId="86"/>
    <tableColumn id="4" xr3:uid="{ECA7C3C9-57BA-4078-B88B-D233223FEF81}" name="CNPJ da Unidae Pagadora (00.000.000/000-00)" dataDxfId="85"/>
    <tableColumn id="2" xr3:uid="{A913D1E2-9D69-4894-A149-AFAB9119BA16}" name="DATA DO FATO GERADOR (DD/MM/AAAA) último dia do mês de apuração" dataDxfId="84"/>
  </tableColumns>
  <tableStyleInfo name="TableStyleMedium1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AC8EFAC-F3F3-4843-92C3-A0CC2FCA423F}" name="BaseRelatórioGeral" displayName="BaseRelatórioGeral" ref="E8:BB36" tableType="queryTable" totalsRowCount="1" headerRowDxfId="83" dataDxfId="82" totalsRowDxfId="81">
  <sortState ref="E9:BB35">
    <sortCondition ref="Y8:Y35"/>
  </sortState>
  <tableColumns count="50">
    <tableColumn id="1" xr3:uid="{2046C5A6-0F8B-44B7-81E9-85540FAA1E00}" uniqueName="1" name="Observação Pré-Doc DARF" totalsRowLabel="Total" queryTableFieldId="1" totalsRowDxfId="50"/>
    <tableColumn id="2" xr3:uid="{C8901EFA-2C92-4320-AA1B-70E0A2B3362B}" uniqueName="2" name="CNPJ da Unidae Pagadora" queryTableFieldId="2" totalsRowDxfId="49"/>
    <tableColumn id="3" xr3:uid="{FF16E736-D3FC-433D-A48B-FF077697B41D}" uniqueName="3" name="UG Pagadora" queryTableFieldId="3" dataDxfId="78" totalsRowDxfId="48"/>
    <tableColumn id="4" xr3:uid="{745CC157-CE0C-4B9A-9637-A661DE22D131}" uniqueName="4" name="UG Emitente" queryTableFieldId="4" dataDxfId="77" totalsRowDxfId="47"/>
    <tableColumn id="5" xr3:uid="{112B27A1-FFBD-4B05-A172-71516DC8D3BE}" uniqueName="5" name="Data do Vencimento" queryTableFieldId="5" dataDxfId="1" totalsRowDxfId="46"/>
    <tableColumn id="6" xr3:uid="{A093002F-4B17-4D4E-9B78-2B2A3E53FCF3}" uniqueName="6" name="Data do Pagamento" queryTableFieldId="6" dataDxfId="76" totalsRowDxfId="45"/>
    <tableColumn id="7" xr3:uid="{3B372AA6-59F5-4164-9DD7-B00C89C31391}" uniqueName="7" name="Situação" queryTableFieldId="7" dataDxfId="75" totalsRowDxfId="44"/>
    <tableColumn id="8" xr3:uid="{5FCED5C1-9EBD-4F23-955E-D90064E61608}" uniqueName="8" name="Recolhedor Darf" queryTableFieldId="8" dataDxfId="74" totalsRowDxfId="43"/>
    <tableColumn id="9" xr3:uid="{9ABB7BAD-39C5-4AC5-8250-3603764FC653}" uniqueName="9" name="Per.Apuração do Pre-Doc" queryTableFieldId="9" dataDxfId="73" totalsRowDxfId="42"/>
    <tableColumn id="10" xr3:uid="{3A460A4A-A92B-4B1F-B44E-CC45FDE2DB37}" uniqueName="10" name="Código DARF SIAFI" queryTableFieldId="10" dataDxfId="72" totalsRowDxfId="41"/>
    <tableColumn id="11" xr3:uid="{9658E015-0B7F-4654-A11E-246BAA8E0609}" uniqueName="11" name="Nat.Rendimento Darf" queryTableFieldId="11" dataDxfId="71" totalsRowDxfId="40"/>
    <tableColumn id="12" xr3:uid="{9E712759-5A3D-464D-9192-20317147CEB0}" uniqueName="12" name="Recurso.Pre-Doc" queryTableFieldId="12" totalsRowDxfId="39"/>
    <tableColumn id="13" xr3:uid="{268225C4-707E-46D5-98A1-D6309405AA63}" uniqueName="13" name="Vinculação" queryTableFieldId="13" dataDxfId="70" totalsRowDxfId="38"/>
    <tableColumn id="14" xr3:uid="{FE062880-6A9F-490C-87F5-1491388FC5AB}" uniqueName="14" name="Fonte Recursos Detalhada" queryTableFieldId="14" totalsRowDxfId="37"/>
    <tableColumn id="15" xr3:uid="{AF0F230B-9075-4F0A-9279-7FC919D1E16F}" uniqueName="15" name="Base de Cálculo Darf" totalsRowFunction="sum" queryTableFieldId="15" totalsRowDxfId="36"/>
    <tableColumn id="16" xr3:uid="{33A98E0E-423F-47CA-BB04-8DDDA27EDB00}" uniqueName="16" name="Valor Receita Darf" totalsRowFunction="sum" queryTableFieldId="16" dataDxfId="69" totalsRowDxfId="35" dataCellStyle="Vírgula"/>
    <tableColumn id="17" xr3:uid="{6C5434C2-9AFD-41AE-ADC4-E5C650FCD258}" uniqueName="17" name="EmpenhoVinc.Dedução" queryTableFieldId="17" dataDxfId="68" totalsRowDxfId="34" dataCellStyle="Vírgula"/>
    <tableColumn id="48" xr3:uid="{7EC63C62-FB84-4C92-B2B2-E4D705012417}" uniqueName="48" name="numDocOrigem" queryTableFieldId="55" dataDxfId="67" dataCellStyle="Vírgula"/>
    <tableColumn id="49" xr3:uid="{DCFB5BAD-C346-43DA-8CC5-344090AEC0A0}" uniqueName="49" name="Valor Doc Origem" queryTableFieldId="56" dataDxfId="66" totalsRowDxfId="33"/>
    <tableColumn id="18" xr3:uid="{C4C84EFE-E2B7-418A-A977-6DA14433B3E0}" uniqueName="18" name="Verificação de Base/Dedução" queryTableFieldId="18" totalsRowDxfId="32"/>
    <tableColumn id="19" xr3:uid="{B1CC7D04-52D4-4AE3-82E7-F062B26B2A02}" uniqueName="19" name="Nºdoc.Hábil" queryTableFieldId="19" dataDxfId="65" totalsRowDxfId="31"/>
    <tableColumn id="20" xr3:uid="{18617E63-737D-4E00-B37E-3954AA1FDB80}" uniqueName="20" name="Data OB Pgto Fornecedor" queryTableFieldId="20" dataDxfId="0" totalsRowDxfId="30"/>
    <tableColumn id="21" xr3:uid="{BF0B0892-81F9-49A1-AAAE-78B81C5C393D}" uniqueName="21" name="Processo Sei" queryTableFieldId="21" totalsRowDxfId="29"/>
    <tableColumn id="22" xr3:uid="{1454E6A0-2B70-4BF3-9608-95D2909E4822}" uniqueName="22" name="Credor" queryTableFieldId="22" totalsRowDxfId="28"/>
    <tableColumn id="23" xr3:uid="{FF368C81-BABA-456D-9A21-D57E08B9B6A9}" uniqueName="23" name="Favorecido do Empenho" queryTableFieldId="23" totalsRowDxfId="27"/>
    <tableColumn id="41" xr3:uid="{DA4A0CD0-1EA3-40E6-A95D-D2C000A53DAB}" uniqueName="41" name="Alíquota Tab.EFDReinf" queryTableFieldId="41" dataDxfId="64" totalsRowDxfId="26"/>
    <tableColumn id="25" xr3:uid="{045CFF3B-8B7D-4F4B-B444-E405EB0D96E3}" uniqueName="25" name="Mês Pgto Fornecedor" queryTableFieldId="25" dataDxfId="63" totalsRowDxfId="25"/>
    <tableColumn id="26" xr3:uid="{E79F475D-EEC4-43C0-A696-915E5FC79B3F}" uniqueName="26" name="Mês Pré-Doc" queryTableFieldId="26" dataDxfId="52" totalsRowDxfId="24"/>
    <tableColumn id="27" xr3:uid="{84EB2E61-2F0A-416B-AB51-48648F7B7BA4}" uniqueName="27" name="Mês Ref. EFDReinf" queryTableFieldId="27" dataDxfId="51" totalsRowDxfId="23"/>
    <tableColumn id="28" xr3:uid="{EF2BAA86-1932-4E34-A7EC-089DCB7A9349}" uniqueName="28" name="IR" totalsRowFunction="sum" queryTableFieldId="28" totalsRowDxfId="22"/>
    <tableColumn id="29" xr3:uid="{E3C52824-04D2-42B9-B796-799395E1AF76}" uniqueName="29" name="AGREGADO" totalsRowFunction="sum" queryTableFieldId="29" totalsRowDxfId="21"/>
    <tableColumn id="30" xr3:uid="{EA39ADF1-47EF-4B8A-843C-388D22423D30}" uniqueName="30" name="CSLL" totalsRowFunction="sum" queryTableFieldId="30" totalsRowDxfId="20"/>
    <tableColumn id="32" xr3:uid="{EE100A10-096E-4967-8D9A-A1FC0C28A2E3}" uniqueName="32" name="PIS/PASEP" totalsRowFunction="sum" queryTableFieldId="32" totalsRowDxfId="19"/>
    <tableColumn id="33" xr3:uid="{2BADDDF4-573D-472C-B24D-86544550945A}" uniqueName="33" name="COFINS" totalsRowFunction="sum" queryTableFieldId="33" totalsRowDxfId="18"/>
    <tableColumn id="31" xr3:uid="{7C11783A-5D04-4C9E-80FB-87C5FE273D6C}" uniqueName="31" name="Código Darf SIAFI/Tabela Código 4020" queryTableFieldId="31" totalsRowDxfId="17"/>
    <tableColumn id="34" xr3:uid="{68B82ADE-B231-4C89-885C-D4AEFE3A5D6F}" uniqueName="34" name="Tributo" queryTableFieldId="34" totalsRowDxfId="16"/>
    <tableColumn id="35" xr3:uid="{50B97539-0D98-40F2-A1A2-418F910FD840}" uniqueName="35" name="Código de Receita Tab4020" queryTableFieldId="35" dataDxfId="62" totalsRowDxfId="15"/>
    <tableColumn id="36" xr3:uid="{B0CDA177-C2AC-4F32-9109-9B75644E6EA7}" uniqueName="36" name="Nat.Rendimento.Tab4020" queryTableFieldId="36" totalsRowDxfId="14"/>
    <tableColumn id="37" xr3:uid="{355EC460-5C24-4238-AD45-D6A0BC53FF54}" uniqueName="37" name="ID Pgto/Mês EFDReinf" queryTableFieldId="37" totalsRowDxfId="13"/>
    <tableColumn id="38" xr3:uid="{49326B91-ECC2-41FA-85B5-8CCBF3AEE452}" uniqueName="38" name="ID Prédoc" queryTableFieldId="38" dataDxfId="61" totalsRowDxfId="12"/>
    <tableColumn id="39" xr3:uid="{E2CE78A3-260E-4426-B9B0-8683DEFFA06C}" uniqueName="39" name="Verificação Alíquota" queryTableFieldId="39" totalsRowDxfId="11"/>
    <tableColumn id="24" xr3:uid="{9DAC6F98-E95F-43FD-9B0B-84D76ED4DC92}" uniqueName="24" name="Índice" queryTableFieldId="43" totalsRowDxfId="10"/>
    <tableColumn id="40" xr3:uid="{5439A6ED-3B90-498C-BFCD-1BD953336BE8}" uniqueName="40" name="ID Verificação Prédoc" totalsRowFunction="count" queryTableFieldId="40" dataDxfId="60" totalsRowDxfId="9" dataCellStyle="Vírgula">
      <calculatedColumnFormula array="1">_xlfn.IFS(BaseRelatórioGeral[[#This Row],[ID Prédoc]]="Fornecedor não foi pago","Correto",BaseRelatórioGeral[[#This Row],[ID Prédoc]]="Troca Data Pré-Doc para Mês EFDReinf","Incorreto",BaseRelatórioGeral[[#This Row],[ID Prédoc]]="Alterar Data Prédoc - Fornecedor Não foi Pago","Incorreto",BaseRelatórioGeral[[#This Row],[ID Prédoc]]="Data PréDoc OK","Correto",BaseRelatórioGeral[[#This Row],[ID Prédoc]]="Pré-Doc Sem Informação","Pré-Doc Sem Informação")</calculatedColumnFormula>
    </tableColumn>
    <tableColumn id="42" xr3:uid="{67A2EB5B-A89C-40D2-877F-AB105AF443F6}" uniqueName="42" name="Mês EFDReinf Orgão" queryTableFieldId="44" dataDxfId="59" totalsRowDxfId="8">
      <calculatedColumnFormula>IFERROR((CONCATENATE((MONTH(BaseRelatórioGeral[[#This Row],[Mês Pgto Fornecedor]])),"-",(YEAR(BaseRelatórioGeral[[#This Row],[Data OB Pgto Fornecedor]])))),"")</calculatedColumnFormula>
    </tableColumn>
    <tableColumn id="43" xr3:uid="{B1A843D5-57E2-491F-AD19-7A58A065DDAA}" uniqueName="43" name="Valor Darf Verificado" totalsRowFunction="sum" queryTableFieldId="47" dataDxfId="58" totalsRowDxfId="7">
      <calculatedColumnFormula>BaseRelatórioGeral[[#This Row],[IR]]+BaseRelatórioGeral[[#This Row],[AGREGADO]]+BaseRelatórioGeral[[#This Row],[CSLL]]+BaseRelatórioGeral[[#This Row],[PIS/PASEP]]+BaseRelatórioGeral[[#This Row],[COFINS]]</calculatedColumnFormula>
    </tableColumn>
    <tableColumn id="45" xr3:uid="{685BFFDB-7732-4786-ADDB-42507865D063}" uniqueName="45" name="Conferência de Alíquota" queryTableFieldId="49" dataDxfId="57" totalsRowDxfId="6">
      <calculatedColumnFormula>IFERROR((IF((ROUND((IFERROR((BaseRelatórioGeral[[#This Row],[Verificação de Base/Dedução]]-BaseRelatórioGeral[[#This Row],[Alíquota Tab.EFDReinf]]),BaseRelatórioGeral[[#This Row],[Alíquota Tab.EFDReinf]])),2))=0.01,0,IF((ROUND((IFERROR((BaseRelatórioGeral[[#This Row],[Verificação de Base/Dedução]]-BaseRelatórioGeral[[#This Row],[Alíquota Tab.EFDReinf]]),BaseRelatórioGeral[[#This Row],[Alíquota Tab.EFDReinf]])),2))=-0.01,0,(IFERROR((BaseRelatórioGeral[[#This Row],[Verificação de Base/Dedução]]-BaseRelatórioGeral[[#This Row],[Alíquota Tab.EFDReinf]]),BaseRelatórioGeral[[#This Row],[Alíquota Tab.EFDReinf]]))))),BaseRelatórioGeral[[#This Row],[Alíquota Tab.EFDReinf]])</calculatedColumnFormula>
    </tableColumn>
    <tableColumn id="46" xr3:uid="{52D758DF-2935-43B5-8791-34305B3A60C2}" uniqueName="46" name="Conferência de UG Pagadora" queryTableFieldId="50" dataDxfId="56" totalsRowDxfId="5">
      <calculatedColumnFormula>BaseRelatórioGeral[[#This Row],[UG Pagadora]]</calculatedColumnFormula>
    </tableColumn>
    <tableColumn id="44" xr3:uid="{37BD1399-CC10-4424-9C1F-3640AADFB6B8}" uniqueName="44" name="IDCredor/Recolhedor" queryTableFieldId="53" dataDxfId="55" totalsRowDxfId="4">
      <calculatedColumnFormula>BaseRelatórioGeral[[#This Row],[Recolhedor Darf]]=BaseRelatórioGeral[[#This Row],[Credor]]</calculatedColumnFormula>
    </tableColumn>
    <tableColumn id="47" xr3:uid="{A4C09D0F-8588-4656-B655-9EFB5EE20643}" uniqueName="47" name="Conferência Alíquota" queryTableFieldId="54" dataDxfId="54" totalsRowDxfId="3">
      <calculatedColumnFormula>IF(BaseRelatórioGeral[[#This Row],[Conferência de Alíquota]]="AmparadaporMedidaJudicial","OK","Correto")</calculatedColumnFormula>
    </tableColumn>
    <tableColumn id="50" xr3:uid="{3B7815E7-BFF0-49B2-B436-25E7943F0560}" uniqueName="50" name="ID Alíquota" queryTableFieldId="59" dataDxfId="53" totalsRowDxfId="2">
      <calculatedColumnFormula>IF(BaseRelatórioGeral[[#This Row],[Conferência de Alíquota]]="AmparadaporMedidaJudicial","AmparadaporMedidaJudicial","Ok")</calculatedColumnFormula>
    </tableColumn>
  </tableColumns>
  <tableStyleInfo name="TableStyleMedium14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8877ED-189D-4B5C-8622-AF1764DDEBAC}">
  <dimension ref="B1:BB597"/>
  <sheetViews>
    <sheetView tabSelected="1" topLeftCell="AG6" workbookViewId="0">
      <selection activeCell="BD32" sqref="BD32"/>
    </sheetView>
  </sheetViews>
  <sheetFormatPr defaultColWidth="8.88671875" defaultRowHeight="14.4" x14ac:dyDescent="0.3"/>
  <cols>
    <col min="1" max="1" width="30.6640625" style="10" customWidth="1"/>
    <col min="2" max="2" width="21.33203125" style="10" hidden="1" customWidth="1"/>
    <col min="3" max="3" width="24.88671875" style="10" customWidth="1"/>
    <col min="4" max="4" width="29.33203125" style="10" customWidth="1"/>
    <col min="5" max="5" width="62" style="9" customWidth="1"/>
    <col min="6" max="6" width="23.6640625" style="9" customWidth="1"/>
    <col min="7" max="7" width="10" style="17" customWidth="1"/>
    <col min="8" max="8" width="9.6640625" style="17" customWidth="1"/>
    <col min="9" max="9" width="11.44140625" style="45" customWidth="1"/>
    <col min="10" max="10" width="12" style="45" customWidth="1"/>
    <col min="11" max="11" width="8.44140625" style="17" customWidth="1"/>
    <col min="12" max="12" width="23.44140625" style="17" customWidth="1"/>
    <col min="13" max="13" width="16.33203125" style="9" hidden="1" customWidth="1"/>
    <col min="14" max="14" width="13" style="17" hidden="1" customWidth="1"/>
    <col min="15" max="15" width="13" style="45" hidden="1" customWidth="1"/>
    <col min="16" max="16" width="11.44140625" style="9" hidden="1" customWidth="1"/>
    <col min="17" max="17" width="10.5546875" style="17" hidden="1" customWidth="1"/>
    <col min="18" max="18" width="13.88671875" style="9" hidden="1" customWidth="1"/>
    <col min="19" max="19" width="13.33203125" style="9" hidden="1" customWidth="1"/>
    <col min="20" max="20" width="13.5546875" style="8" hidden="1" customWidth="1"/>
    <col min="21" max="21" width="21.109375" style="8" hidden="1" customWidth="1"/>
    <col min="22" max="22" width="15.5546875" style="9" hidden="1" customWidth="1"/>
    <col min="23" max="23" width="14.88671875" style="54" hidden="1" customWidth="1"/>
    <col min="24" max="24" width="18.109375" style="45" hidden="1" customWidth="1"/>
    <col min="25" max="25" width="25.5546875" style="9" hidden="1" customWidth="1"/>
    <col min="26" max="26" width="17.109375" style="9" customWidth="1"/>
    <col min="27" max="27" width="25.5546875" style="9" customWidth="1"/>
    <col min="28" max="28" width="24.33203125" style="55" customWidth="1"/>
    <col min="29" max="29" width="48.33203125" style="17" customWidth="1"/>
    <col min="30" max="30" width="15.33203125" style="45" customWidth="1"/>
    <col min="31" max="31" width="20.33203125" style="17" customWidth="1"/>
    <col min="32" max="32" width="16" style="9" customWidth="1"/>
    <col min="33" max="33" width="18.44140625" style="9" customWidth="1"/>
    <col min="34" max="34" width="15.33203125" style="9" customWidth="1"/>
    <col min="35" max="35" width="19.33203125" style="9" customWidth="1"/>
    <col min="36" max="36" width="13" style="9" customWidth="1"/>
    <col min="37" max="37" width="15.109375" style="9" customWidth="1"/>
    <col min="38" max="38" width="10.33203125" style="9" customWidth="1"/>
    <col min="39" max="39" width="18.109375" style="45" customWidth="1"/>
    <col min="40" max="40" width="15.109375" style="9" customWidth="1"/>
    <col min="41" max="41" width="18.5546875" style="45" customWidth="1"/>
    <col min="42" max="42" width="15.44140625" style="45" customWidth="1"/>
    <col min="43" max="43" width="18.5546875" style="45" customWidth="1"/>
    <col min="44" max="44" width="22.33203125" style="45" customWidth="1"/>
    <col min="45" max="45" width="21.44140625" style="45" customWidth="1"/>
    <col min="46" max="46" width="8.33203125" style="45" customWidth="1"/>
    <col min="47" max="47" width="18.88671875" style="7" hidden="1" customWidth="1"/>
    <col min="48" max="48" width="14.88671875" style="8" hidden="1" customWidth="1"/>
    <col min="49" max="49" width="11.44140625" style="9" hidden="1" customWidth="1"/>
    <col min="50" max="50" width="29.109375" style="9" hidden="1" customWidth="1"/>
    <col min="51" max="51" width="15.44140625" style="9" hidden="1" customWidth="1"/>
    <col min="52" max="52" width="15" style="10" hidden="1" customWidth="1"/>
    <col min="53" max="53" width="11.33203125" style="10" hidden="1" customWidth="1"/>
    <col min="54" max="54" width="10.109375" style="10" hidden="1" customWidth="1"/>
    <col min="55" max="16384" width="8.88671875" style="10"/>
  </cols>
  <sheetData>
    <row r="1" spans="2:54" s="1" customFormat="1" hidden="1" x14ac:dyDescent="0.3">
      <c r="E1"/>
      <c r="F1"/>
      <c r="G1" s="2"/>
      <c r="H1" s="2"/>
      <c r="I1" s="3"/>
      <c r="J1" s="3"/>
      <c r="K1" s="2"/>
      <c r="L1" s="2"/>
      <c r="M1"/>
      <c r="N1" s="2"/>
      <c r="O1" s="3"/>
      <c r="P1"/>
      <c r="Q1" s="2"/>
      <c r="R1"/>
      <c r="S1"/>
      <c r="T1" s="4"/>
      <c r="U1" s="4"/>
      <c r="V1" s="4"/>
      <c r="W1" s="4"/>
      <c r="X1" s="4"/>
      <c r="Y1" s="4"/>
      <c r="Z1" s="4"/>
      <c r="AA1" s="4"/>
      <c r="AB1" s="5"/>
      <c r="AC1" s="6"/>
      <c r="AD1" s="4"/>
      <c r="AE1" s="2"/>
      <c r="AF1"/>
      <c r="AG1"/>
      <c r="AH1"/>
      <c r="AI1"/>
      <c r="AJ1"/>
      <c r="AK1"/>
      <c r="AL1"/>
      <c r="AM1" s="3"/>
      <c r="AN1"/>
      <c r="AO1" s="3"/>
      <c r="AP1" s="3"/>
      <c r="AQ1" s="3"/>
      <c r="AR1" s="3"/>
      <c r="AS1" s="3"/>
      <c r="AT1" s="3"/>
      <c r="AU1" s="7"/>
      <c r="AV1" s="8"/>
      <c r="AW1" s="9"/>
      <c r="AX1" s="9"/>
      <c r="AY1" s="9"/>
      <c r="AZ1" s="10"/>
      <c r="BA1" s="10"/>
      <c r="BB1" s="10"/>
    </row>
    <row r="2" spans="2:54" s="1" customFormat="1" hidden="1" x14ac:dyDescent="0.3">
      <c r="E2"/>
      <c r="F2"/>
      <c r="G2" s="2"/>
      <c r="H2" s="2"/>
      <c r="I2" s="3"/>
      <c r="J2" s="3"/>
      <c r="K2" s="2"/>
      <c r="L2" s="2"/>
      <c r="M2"/>
      <c r="N2" s="2"/>
      <c r="O2" s="3"/>
      <c r="P2"/>
      <c r="Q2" s="2"/>
      <c r="R2"/>
      <c r="S2"/>
      <c r="T2" s="4"/>
      <c r="U2" s="4"/>
      <c r="V2" s="4"/>
      <c r="W2" s="4"/>
      <c r="X2" s="4"/>
      <c r="Y2" s="4"/>
      <c r="Z2" s="4"/>
      <c r="AA2" s="4"/>
      <c r="AB2" s="5"/>
      <c r="AC2" s="6"/>
      <c r="AD2" s="4"/>
      <c r="AE2" s="2"/>
      <c r="AF2"/>
      <c r="AG2"/>
      <c r="AH2"/>
      <c r="AI2"/>
      <c r="AJ2"/>
      <c r="AK2"/>
      <c r="AL2"/>
      <c r="AM2" s="3"/>
      <c r="AN2"/>
      <c r="AO2" s="3"/>
      <c r="AP2" s="3"/>
      <c r="AQ2" s="3"/>
      <c r="AR2" s="3"/>
      <c r="AS2" s="3"/>
      <c r="AT2" s="3"/>
      <c r="AU2" s="7"/>
      <c r="AV2" s="8"/>
      <c r="AW2" s="9"/>
      <c r="AX2" s="9"/>
      <c r="AY2" s="9"/>
      <c r="AZ2" s="10"/>
      <c r="BA2" s="10"/>
      <c r="BB2" s="10"/>
    </row>
    <row r="3" spans="2:54" s="1" customFormat="1" hidden="1" x14ac:dyDescent="0.3">
      <c r="E3"/>
      <c r="F3"/>
      <c r="G3" s="2"/>
      <c r="H3" s="2"/>
      <c r="I3" s="3"/>
      <c r="J3" s="3"/>
      <c r="K3" s="2"/>
      <c r="L3" s="2"/>
      <c r="M3"/>
      <c r="N3" s="2"/>
      <c r="O3" s="3"/>
      <c r="P3"/>
      <c r="Q3" s="2"/>
      <c r="R3"/>
      <c r="S3"/>
      <c r="T3" s="11"/>
      <c r="U3" s="12"/>
      <c r="V3"/>
      <c r="W3" s="2"/>
      <c r="X3" s="3"/>
      <c r="Y3"/>
      <c r="Z3"/>
      <c r="AA3"/>
      <c r="AB3" s="13"/>
      <c r="AC3" s="2"/>
      <c r="AD3" s="3"/>
      <c r="AE3" s="2"/>
      <c r="AF3"/>
      <c r="AG3"/>
      <c r="AH3"/>
      <c r="AI3"/>
      <c r="AJ3"/>
      <c r="AK3"/>
      <c r="AL3"/>
      <c r="AM3" s="3"/>
      <c r="AN3"/>
      <c r="AO3" s="3"/>
      <c r="AP3" s="3"/>
      <c r="AQ3" s="3"/>
      <c r="AR3" s="3"/>
      <c r="AS3" s="3"/>
      <c r="AT3" s="3"/>
      <c r="AU3" s="7"/>
      <c r="AV3" s="8"/>
      <c r="AW3" s="9"/>
      <c r="AX3" s="9"/>
      <c r="AY3" s="9"/>
      <c r="AZ3" s="10"/>
      <c r="BA3" s="10"/>
      <c r="BB3" s="10"/>
    </row>
    <row r="4" spans="2:54" s="1" customFormat="1" ht="79.5" customHeight="1" x14ac:dyDescent="0.35">
      <c r="B4" s="14" t="s">
        <v>0</v>
      </c>
      <c r="C4" s="15" t="s">
        <v>1</v>
      </c>
      <c r="D4" s="15" t="s">
        <v>2</v>
      </c>
      <c r="E4" s="16"/>
      <c r="F4" s="16"/>
      <c r="G4" s="17"/>
      <c r="H4" s="2"/>
      <c r="I4" s="3"/>
      <c r="J4" s="3"/>
      <c r="K4" s="2"/>
      <c r="L4" s="2"/>
      <c r="M4"/>
      <c r="N4" s="2"/>
      <c r="O4" s="2"/>
      <c r="P4"/>
      <c r="Q4"/>
      <c r="R4" s="11"/>
      <c r="S4" s="12"/>
      <c r="T4"/>
      <c r="U4"/>
      <c r="V4"/>
      <c r="W4" s="18"/>
      <c r="X4"/>
      <c r="Y4"/>
      <c r="Z4"/>
      <c r="AA4" s="3"/>
      <c r="AB4" s="13"/>
      <c r="AC4" s="2"/>
      <c r="AD4"/>
      <c r="AE4" s="2"/>
      <c r="AF4"/>
      <c r="AG4"/>
      <c r="AH4"/>
      <c r="AI4"/>
      <c r="AJ4"/>
      <c r="AK4"/>
      <c r="AL4"/>
      <c r="AM4" s="3"/>
      <c r="AN4" s="3"/>
      <c r="AO4" s="3"/>
      <c r="AP4" s="3"/>
      <c r="AQ4" s="3"/>
      <c r="AR4" s="12"/>
      <c r="AS4" s="12"/>
      <c r="AT4" s="12"/>
      <c r="AU4" s="7"/>
      <c r="AV4" s="9"/>
      <c r="AW4" s="9"/>
      <c r="AX4" s="9"/>
      <c r="AY4" s="9"/>
      <c r="AZ4" s="10"/>
      <c r="BA4" s="10"/>
      <c r="BB4" s="10"/>
    </row>
    <row r="5" spans="2:54" s="19" customFormat="1" ht="22.2" hidden="1" customHeight="1" x14ac:dyDescent="0.35">
      <c r="B5" s="19">
        <v>85</v>
      </c>
      <c r="C5" s="16"/>
      <c r="D5" s="20">
        <v>1</v>
      </c>
      <c r="E5" s="16"/>
      <c r="F5" s="16"/>
      <c r="G5" s="21"/>
      <c r="H5" s="22"/>
      <c r="I5" s="23"/>
      <c r="J5" s="23"/>
      <c r="K5" s="22"/>
      <c r="L5" s="22"/>
      <c r="M5" s="24"/>
      <c r="N5" s="22"/>
      <c r="O5" s="22"/>
      <c r="P5" s="24"/>
      <c r="Q5" s="24"/>
      <c r="R5" s="25"/>
      <c r="S5" s="26"/>
      <c r="T5" s="24"/>
      <c r="U5" s="22"/>
      <c r="V5" s="23"/>
      <c r="W5" s="24"/>
      <c r="X5" s="24"/>
      <c r="Y5" s="24"/>
      <c r="Z5" s="24"/>
      <c r="AA5" s="23"/>
      <c r="AB5" s="27"/>
      <c r="AC5" s="22"/>
      <c r="AD5" s="24"/>
      <c r="AE5" s="22"/>
      <c r="AF5" s="24"/>
      <c r="AG5" s="24"/>
      <c r="AH5" s="24"/>
      <c r="AI5" s="24"/>
      <c r="AJ5" s="24"/>
      <c r="AK5" s="24"/>
      <c r="AL5" s="24"/>
      <c r="AM5" s="23"/>
      <c r="AN5" s="23"/>
      <c r="AO5" s="23"/>
      <c r="AP5" s="23"/>
      <c r="AQ5" s="23"/>
      <c r="AR5" s="26"/>
      <c r="AS5" s="26"/>
      <c r="AT5" s="26"/>
      <c r="AU5" s="28"/>
      <c r="AV5" s="29"/>
      <c r="AW5" s="29"/>
      <c r="AX5" s="29"/>
      <c r="AY5" s="29"/>
      <c r="AZ5" s="30"/>
      <c r="BA5" s="30"/>
      <c r="BB5" s="30"/>
    </row>
    <row r="6" spans="2:54" s="1" customFormat="1" ht="18" x14ac:dyDescent="0.35">
      <c r="B6" s="19">
        <v>85</v>
      </c>
      <c r="C6" s="16" t="s">
        <v>3</v>
      </c>
      <c r="D6" s="20">
        <v>46172</v>
      </c>
      <c r="E6" s="16"/>
      <c r="F6" s="16"/>
      <c r="G6" s="2"/>
      <c r="H6" s="2"/>
      <c r="I6" s="3"/>
      <c r="J6" s="3"/>
      <c r="K6" s="2"/>
      <c r="L6" s="2"/>
      <c r="M6"/>
      <c r="N6" s="2"/>
      <c r="O6" s="2"/>
      <c r="P6"/>
      <c r="Q6"/>
      <c r="R6" s="11"/>
      <c r="S6" s="12"/>
      <c r="T6"/>
      <c r="U6" s="2"/>
      <c r="V6" s="3"/>
      <c r="W6" s="18"/>
      <c r="X6"/>
      <c r="Y6"/>
      <c r="Z6"/>
      <c r="AA6" s="3"/>
      <c r="AB6" s="13"/>
      <c r="AC6" s="2"/>
      <c r="AD6"/>
      <c r="AE6" s="2"/>
      <c r="AF6"/>
      <c r="AG6"/>
      <c r="AH6"/>
      <c r="AI6"/>
      <c r="AJ6"/>
      <c r="AK6"/>
      <c r="AL6"/>
      <c r="AM6" s="3"/>
      <c r="AN6" s="3"/>
      <c r="AO6" s="3"/>
      <c r="AP6" s="3"/>
      <c r="AQ6" s="3"/>
      <c r="AR6" s="12"/>
      <c r="AS6" s="12"/>
      <c r="AT6" s="12"/>
      <c r="AU6" s="7"/>
      <c r="AV6" s="9"/>
      <c r="AW6" s="9"/>
      <c r="AX6" s="9"/>
      <c r="AY6" s="9"/>
      <c r="AZ6" s="10"/>
      <c r="BA6" s="10"/>
      <c r="BB6" s="10"/>
    </row>
    <row r="7" spans="2:54" s="1" customFormat="1" x14ac:dyDescent="0.3">
      <c r="E7"/>
      <c r="F7"/>
      <c r="G7" s="2"/>
      <c r="H7" s="2"/>
      <c r="I7" s="3"/>
      <c r="J7" s="3"/>
      <c r="K7" s="2"/>
      <c r="L7" s="2"/>
      <c r="M7"/>
      <c r="N7" s="2"/>
      <c r="O7" s="3"/>
      <c r="P7"/>
      <c r="Q7" s="2"/>
      <c r="R7"/>
      <c r="S7"/>
      <c r="T7" s="11"/>
      <c r="U7" s="12"/>
      <c r="V7"/>
      <c r="W7" s="31"/>
      <c r="X7" s="3"/>
      <c r="Y7"/>
      <c r="Z7"/>
      <c r="AA7"/>
      <c r="AB7" s="13"/>
      <c r="AC7" s="2"/>
      <c r="AD7" s="3"/>
      <c r="AE7" s="2"/>
      <c r="AF7"/>
      <c r="AG7"/>
      <c r="AH7"/>
      <c r="AI7"/>
      <c r="AJ7"/>
      <c r="AK7"/>
      <c r="AL7"/>
      <c r="AM7" s="3"/>
      <c r="AN7"/>
      <c r="AO7" s="3"/>
      <c r="AP7" s="3"/>
      <c r="AQ7" s="3"/>
      <c r="AR7" s="3"/>
      <c r="AS7" s="3"/>
      <c r="AT7" s="3"/>
      <c r="AU7" s="7"/>
      <c r="AV7" s="8"/>
      <c r="AW7" s="9"/>
      <c r="AX7" s="9"/>
      <c r="AY7" s="9"/>
      <c r="AZ7" s="10"/>
      <c r="BA7" s="10"/>
      <c r="BB7" s="10"/>
    </row>
    <row r="8" spans="2:54" s="32" customFormat="1" ht="52.95" customHeight="1" x14ac:dyDescent="0.3">
      <c r="E8" s="15" t="s">
        <v>4</v>
      </c>
      <c r="F8" s="15" t="s">
        <v>5</v>
      </c>
      <c r="G8" s="15" t="s">
        <v>6</v>
      </c>
      <c r="H8" s="15" t="s">
        <v>7</v>
      </c>
      <c r="I8" s="15" t="s">
        <v>8</v>
      </c>
      <c r="J8" s="15" t="s">
        <v>9</v>
      </c>
      <c r="K8" s="15" t="s">
        <v>10</v>
      </c>
      <c r="L8" s="15" t="s">
        <v>11</v>
      </c>
      <c r="M8" s="15" t="s">
        <v>12</v>
      </c>
      <c r="N8" s="15" t="s">
        <v>13</v>
      </c>
      <c r="O8" s="15" t="s">
        <v>14</v>
      </c>
      <c r="P8" s="15" t="s">
        <v>15</v>
      </c>
      <c r="Q8" s="15" t="s">
        <v>16</v>
      </c>
      <c r="R8" s="15" t="s">
        <v>17</v>
      </c>
      <c r="S8" s="15" t="s">
        <v>18</v>
      </c>
      <c r="T8" s="33" t="s">
        <v>19</v>
      </c>
      <c r="U8" s="34" t="s">
        <v>20</v>
      </c>
      <c r="V8" s="15" t="s">
        <v>21</v>
      </c>
      <c r="W8" s="35" t="s">
        <v>22</v>
      </c>
      <c r="X8" s="15" t="s">
        <v>23</v>
      </c>
      <c r="Y8" s="15" t="s">
        <v>24</v>
      </c>
      <c r="Z8" s="15" t="s">
        <v>25</v>
      </c>
      <c r="AA8" s="15" t="s">
        <v>26</v>
      </c>
      <c r="AB8" s="15" t="s">
        <v>27</v>
      </c>
      <c r="AC8" s="15" t="s">
        <v>28</v>
      </c>
      <c r="AD8" s="36" t="s">
        <v>29</v>
      </c>
      <c r="AE8" s="15" t="s">
        <v>30</v>
      </c>
      <c r="AF8" s="15" t="s">
        <v>31</v>
      </c>
      <c r="AG8" s="15" t="s">
        <v>32</v>
      </c>
      <c r="AH8" s="15" t="s">
        <v>33</v>
      </c>
      <c r="AI8" s="15" t="s">
        <v>34</v>
      </c>
      <c r="AJ8" s="15" t="s">
        <v>35</v>
      </c>
      <c r="AK8" s="15" t="s">
        <v>36</v>
      </c>
      <c r="AL8" s="15" t="s">
        <v>37</v>
      </c>
      <c r="AM8" s="15" t="s">
        <v>38</v>
      </c>
      <c r="AN8" s="15" t="s">
        <v>39</v>
      </c>
      <c r="AO8" s="15" t="s">
        <v>40</v>
      </c>
      <c r="AP8" s="15" t="s">
        <v>41</v>
      </c>
      <c r="AQ8" s="15" t="s">
        <v>42</v>
      </c>
      <c r="AR8" s="15" t="s">
        <v>43</v>
      </c>
      <c r="AS8" s="15" t="s">
        <v>44</v>
      </c>
      <c r="AT8" s="15" t="s">
        <v>45</v>
      </c>
      <c r="AU8" s="37" t="s">
        <v>46</v>
      </c>
      <c r="AV8" s="38" t="s">
        <v>47</v>
      </c>
      <c r="AW8" s="38" t="s">
        <v>48</v>
      </c>
      <c r="AX8" s="38" t="s">
        <v>49</v>
      </c>
      <c r="AY8" s="38" t="s">
        <v>50</v>
      </c>
      <c r="AZ8" s="39" t="s">
        <v>51</v>
      </c>
      <c r="BA8" s="39" t="s">
        <v>52</v>
      </c>
      <c r="BB8" s="39" t="s">
        <v>53</v>
      </c>
    </row>
    <row r="9" spans="2:54" x14ac:dyDescent="0.3">
      <c r="E9" t="s">
        <v>66</v>
      </c>
      <c r="F9" t="s">
        <v>54</v>
      </c>
      <c r="G9" s="2" t="s">
        <v>55</v>
      </c>
      <c r="H9" s="2" t="s">
        <v>55</v>
      </c>
      <c r="I9" s="58">
        <v>46157</v>
      </c>
      <c r="J9" s="58">
        <v>46157</v>
      </c>
      <c r="K9" s="2" t="s">
        <v>56</v>
      </c>
      <c r="L9" s="48">
        <v>45650883000113</v>
      </c>
      <c r="M9" s="40">
        <v>45966</v>
      </c>
      <c r="N9" s="2" t="s">
        <v>57</v>
      </c>
      <c r="O9" s="3">
        <v>17099</v>
      </c>
      <c r="P9" t="s">
        <v>58</v>
      </c>
      <c r="Q9" s="2" t="s">
        <v>59</v>
      </c>
      <c r="R9" t="s">
        <v>60</v>
      </c>
      <c r="S9">
        <v>1803.4</v>
      </c>
      <c r="T9" s="11">
        <v>170.42</v>
      </c>
      <c r="U9" s="41" t="s">
        <v>61</v>
      </c>
      <c r="V9" s="42" t="s">
        <v>67</v>
      </c>
      <c r="W9" s="47">
        <v>1803.4</v>
      </c>
      <c r="X9" t="s">
        <v>62</v>
      </c>
      <c r="Y9" s="2" t="s">
        <v>68</v>
      </c>
      <c r="Z9" s="58">
        <v>46157</v>
      </c>
      <c r="AA9" t="s">
        <v>69</v>
      </c>
      <c r="AB9" s="49">
        <v>45650883000113</v>
      </c>
      <c r="AC9" t="s">
        <v>70</v>
      </c>
      <c r="AD9" s="13" t="s">
        <v>62</v>
      </c>
      <c r="AE9" s="57" t="s">
        <v>168</v>
      </c>
      <c r="AF9" s="57" t="s">
        <v>168</v>
      </c>
      <c r="AG9" s="57" t="s">
        <v>168</v>
      </c>
      <c r="AH9"/>
      <c r="AI9">
        <v>170.42</v>
      </c>
      <c r="AJ9"/>
      <c r="AK9"/>
      <c r="AL9"/>
      <c r="AM9" t="b">
        <v>0</v>
      </c>
      <c r="AN9" t="s">
        <v>34</v>
      </c>
      <c r="AO9" s="3">
        <v>6190</v>
      </c>
      <c r="AP9" t="s">
        <v>63</v>
      </c>
      <c r="AQ9" t="b">
        <v>1</v>
      </c>
      <c r="AR9" s="43" t="s">
        <v>64</v>
      </c>
      <c r="AS9" t="b">
        <v>1</v>
      </c>
      <c r="AT9">
        <v>26</v>
      </c>
      <c r="AU9" s="44" t="str">
        <f t="array" ref="AU9">_xlfn.IFS(BaseRelatórioGeral[[#This Row],[ID Prédoc]]="Fornecedor não foi pago","Correto",BaseRelatórioGeral[[#This Row],[ID Prédoc]]="Troca Data Pré-Doc para Mês EFDReinf","Incorreto",BaseRelatórioGeral[[#This Row],[ID Prédoc]]="Alterar Data Prédoc - Fornecedor Não foi Pago","Incorreto",BaseRelatórioGeral[[#This Row],[ID Prédoc]]="Data PréDoc OK","Correto",BaseRelatórioGeral[[#This Row],[ID Prédoc]]="Pré-Doc Sem Informação","Pré-Doc Sem Informação")</f>
        <v>Correto</v>
      </c>
      <c r="AV9" s="46" t="str">
        <f>IFERROR((CONCATENATE((MONTH(BaseRelatórioGeral[[#This Row],[Mês Pgto Fornecedor]])),"-",(YEAR(BaseRelatórioGeral[[#This Row],[Data OB Pgto Fornecedor]])))),"")</f>
        <v>5-2026</v>
      </c>
      <c r="AW9" s="46">
        <f>BaseRelatórioGeral[[#This Row],[IR]]+BaseRelatórioGeral[[#This Row],[AGREGADO]]+BaseRelatórioGeral[[#This Row],[CSLL]]+BaseRelatórioGeral[[#This Row],[PIS/PASEP]]+BaseRelatórioGeral[[#This Row],[COFINS]]</f>
        <v>170.42</v>
      </c>
      <c r="AX9" s="46">
        <f>IFERROR((IF((ROUND((IFERROR((BaseRelatórioGeral[[#This Row],[Verificação de Base/Dedução]]-BaseRelatórioGeral[[#This Row],[Alíquota Tab.EFDReinf]]),BaseRelatórioGeral[[#This Row],[Alíquota Tab.EFDReinf]])),2))=0.01,0,IF((ROUND((IFERROR((BaseRelatórioGeral[[#This Row],[Verificação de Base/Dedução]]-BaseRelatórioGeral[[#This Row],[Alíquota Tab.EFDReinf]]),BaseRelatórioGeral[[#This Row],[Alíquota Tab.EFDReinf]])),2))=-0.01,0,(IFERROR((BaseRelatórioGeral[[#This Row],[Verificação de Base/Dedução]]-BaseRelatórioGeral[[#This Row],[Alíquota Tab.EFDReinf]]),BaseRelatórioGeral[[#This Row],[Alíquota Tab.EFDReinf]]))))),BaseRelatórioGeral[[#This Row],[Alíquota Tab.EFDReinf]])</f>
        <v>0</v>
      </c>
      <c r="AY9" s="46" t="str">
        <f>BaseRelatórioGeral[[#This Row],[UG Pagadora]]</f>
        <v>302122</v>
      </c>
      <c r="AZ9" s="46" t="b">
        <f>BaseRelatórioGeral[[#This Row],[Recolhedor Darf]]=BaseRelatórioGeral[[#This Row],[Credor]]</f>
        <v>1</v>
      </c>
      <c r="BA9" s="45" t="str">
        <f>IF(BaseRelatórioGeral[[#This Row],[Conferência de Alíquota]]="AmparadaporMedidaJudicial","OK","Correto")</f>
        <v>Correto</v>
      </c>
      <c r="BB9" s="45" t="str">
        <f>IF(BaseRelatórioGeral[[#This Row],[Conferência de Alíquota]]="AmparadaporMedidaJudicial","AmparadaporMedidaJudicial","Ok")</f>
        <v>Ok</v>
      </c>
    </row>
    <row r="10" spans="2:54" x14ac:dyDescent="0.3">
      <c r="E10" t="s">
        <v>71</v>
      </c>
      <c r="F10" t="s">
        <v>54</v>
      </c>
      <c r="G10" s="2" t="s">
        <v>55</v>
      </c>
      <c r="H10" s="2" t="s">
        <v>55</v>
      </c>
      <c r="I10" s="58">
        <v>46158</v>
      </c>
      <c r="J10" s="58">
        <v>46158</v>
      </c>
      <c r="K10" s="2" t="s">
        <v>56</v>
      </c>
      <c r="L10" s="48">
        <v>65414476000114</v>
      </c>
      <c r="M10" s="40">
        <v>45973</v>
      </c>
      <c r="N10" s="2" t="s">
        <v>57</v>
      </c>
      <c r="O10" s="3">
        <v>17099</v>
      </c>
      <c r="P10" t="s">
        <v>58</v>
      </c>
      <c r="Q10" s="2" t="s">
        <v>59</v>
      </c>
      <c r="R10" t="s">
        <v>60</v>
      </c>
      <c r="S10">
        <v>36238.300000000003</v>
      </c>
      <c r="T10" s="11">
        <v>3424.52</v>
      </c>
      <c r="U10" s="41" t="s">
        <v>61</v>
      </c>
      <c r="V10" s="42" t="s">
        <v>72</v>
      </c>
      <c r="W10" s="47">
        <v>36238.300000000003</v>
      </c>
      <c r="X10" t="s">
        <v>62</v>
      </c>
      <c r="Y10" s="2" t="s">
        <v>73</v>
      </c>
      <c r="Z10" s="58">
        <v>46158</v>
      </c>
      <c r="AA10" t="s">
        <v>74</v>
      </c>
      <c r="AB10" s="49">
        <v>65414476000114</v>
      </c>
      <c r="AC10" t="s">
        <v>75</v>
      </c>
      <c r="AD10" s="13" t="s">
        <v>62</v>
      </c>
      <c r="AE10" s="57" t="s">
        <v>168</v>
      </c>
      <c r="AF10" s="57" t="s">
        <v>168</v>
      </c>
      <c r="AG10" s="57" t="s">
        <v>168</v>
      </c>
      <c r="AH10"/>
      <c r="AI10">
        <v>3424.52</v>
      </c>
      <c r="AJ10"/>
      <c r="AK10"/>
      <c r="AL10"/>
      <c r="AM10" t="b">
        <v>0</v>
      </c>
      <c r="AN10" t="s">
        <v>34</v>
      </c>
      <c r="AO10" s="3">
        <v>6190</v>
      </c>
      <c r="AP10" t="s">
        <v>63</v>
      </c>
      <c r="AQ10" t="b">
        <v>1</v>
      </c>
      <c r="AR10" s="43" t="s">
        <v>64</v>
      </c>
      <c r="AS10" t="b">
        <v>1</v>
      </c>
      <c r="AT10">
        <v>16</v>
      </c>
      <c r="AU10" s="44" t="str">
        <f t="array" ref="AU10">_xlfn.IFS(BaseRelatórioGeral[[#This Row],[ID Prédoc]]="Fornecedor não foi pago","Correto",BaseRelatórioGeral[[#This Row],[ID Prédoc]]="Troca Data Pré-Doc para Mês EFDReinf","Incorreto",BaseRelatórioGeral[[#This Row],[ID Prédoc]]="Alterar Data Prédoc - Fornecedor Não foi Pago","Incorreto",BaseRelatórioGeral[[#This Row],[ID Prédoc]]="Data PréDoc OK","Correto",BaseRelatórioGeral[[#This Row],[ID Prédoc]]="Pré-Doc Sem Informação","Pré-Doc Sem Informação")</f>
        <v>Correto</v>
      </c>
      <c r="AV10" s="46" t="str">
        <f>IFERROR((CONCATENATE((MONTH(BaseRelatórioGeral[[#This Row],[Mês Pgto Fornecedor]])),"-",(YEAR(BaseRelatórioGeral[[#This Row],[Data OB Pgto Fornecedor]])))),"")</f>
        <v>5-2026</v>
      </c>
      <c r="AW10" s="46">
        <f>BaseRelatórioGeral[[#This Row],[IR]]+BaseRelatórioGeral[[#This Row],[AGREGADO]]+BaseRelatórioGeral[[#This Row],[CSLL]]+BaseRelatórioGeral[[#This Row],[PIS/PASEP]]+BaseRelatórioGeral[[#This Row],[COFINS]]</f>
        <v>3424.52</v>
      </c>
      <c r="AX10" s="46">
        <f>IFERROR((IF((ROUND((IFERROR((BaseRelatórioGeral[[#This Row],[Verificação de Base/Dedução]]-BaseRelatórioGeral[[#This Row],[Alíquota Tab.EFDReinf]]),BaseRelatórioGeral[[#This Row],[Alíquota Tab.EFDReinf]])),2))=0.01,0,IF((ROUND((IFERROR((BaseRelatórioGeral[[#This Row],[Verificação de Base/Dedução]]-BaseRelatórioGeral[[#This Row],[Alíquota Tab.EFDReinf]]),BaseRelatórioGeral[[#This Row],[Alíquota Tab.EFDReinf]])),2))=-0.01,0,(IFERROR((BaseRelatórioGeral[[#This Row],[Verificação de Base/Dedução]]-BaseRelatórioGeral[[#This Row],[Alíquota Tab.EFDReinf]]),BaseRelatórioGeral[[#This Row],[Alíquota Tab.EFDReinf]]))))),BaseRelatórioGeral[[#This Row],[Alíquota Tab.EFDReinf]])</f>
        <v>0</v>
      </c>
      <c r="AY10" s="46" t="str">
        <f>BaseRelatórioGeral[[#This Row],[UG Pagadora]]</f>
        <v>302122</v>
      </c>
      <c r="AZ10" s="46" t="b">
        <f>BaseRelatórioGeral[[#This Row],[Recolhedor Darf]]=BaseRelatórioGeral[[#This Row],[Credor]]</f>
        <v>1</v>
      </c>
      <c r="BA10" s="45" t="str">
        <f>IF(BaseRelatórioGeral[[#This Row],[Conferência de Alíquota]]="AmparadaporMedidaJudicial","OK","Correto")</f>
        <v>Correto</v>
      </c>
      <c r="BB10" s="45" t="str">
        <f>IF(BaseRelatórioGeral[[#This Row],[Conferência de Alíquota]]="AmparadaporMedidaJudicial","AmparadaporMedidaJudicial","Ok")</f>
        <v>Ok</v>
      </c>
    </row>
    <row r="11" spans="2:54" x14ac:dyDescent="0.3">
      <c r="E11" t="s">
        <v>76</v>
      </c>
      <c r="F11" t="s">
        <v>54</v>
      </c>
      <c r="G11" s="2" t="s">
        <v>55</v>
      </c>
      <c r="H11" s="2" t="s">
        <v>55</v>
      </c>
      <c r="I11" s="58">
        <v>46159</v>
      </c>
      <c r="J11" s="58">
        <v>46159</v>
      </c>
      <c r="K11" s="2" t="s">
        <v>56</v>
      </c>
      <c r="L11" s="2" t="s">
        <v>77</v>
      </c>
      <c r="M11" s="40">
        <v>45973</v>
      </c>
      <c r="N11" s="2" t="s">
        <v>78</v>
      </c>
      <c r="O11" s="3">
        <v>17002</v>
      </c>
      <c r="P11" t="s">
        <v>58</v>
      </c>
      <c r="Q11" s="2" t="s">
        <v>59</v>
      </c>
      <c r="R11" t="s">
        <v>60</v>
      </c>
      <c r="S11">
        <v>13597.95</v>
      </c>
      <c r="T11" s="11">
        <v>795.48</v>
      </c>
      <c r="U11" s="41" t="s">
        <v>61</v>
      </c>
      <c r="V11" s="42" t="s">
        <v>79</v>
      </c>
      <c r="W11" s="47">
        <v>15063.43</v>
      </c>
      <c r="X11" t="s">
        <v>80</v>
      </c>
      <c r="Y11" s="2" t="s">
        <v>81</v>
      </c>
      <c r="Z11" s="58">
        <v>46159</v>
      </c>
      <c r="AA11" t="s">
        <v>82</v>
      </c>
      <c r="AB11" t="s">
        <v>77</v>
      </c>
      <c r="AC11" t="s">
        <v>83</v>
      </c>
      <c r="AD11" s="13" t="s">
        <v>80</v>
      </c>
      <c r="AE11" s="57" t="s">
        <v>168</v>
      </c>
      <c r="AF11" s="57" t="s">
        <v>168</v>
      </c>
      <c r="AG11" s="57" t="s">
        <v>168</v>
      </c>
      <c r="AH11"/>
      <c r="AI11">
        <v>795.48</v>
      </c>
      <c r="AJ11"/>
      <c r="AK11"/>
      <c r="AL11"/>
      <c r="AM11" t="b">
        <v>0</v>
      </c>
      <c r="AN11" t="s">
        <v>34</v>
      </c>
      <c r="AO11" s="3">
        <v>6147</v>
      </c>
      <c r="AP11" t="s">
        <v>84</v>
      </c>
      <c r="AQ11" t="b">
        <v>1</v>
      </c>
      <c r="AR11" s="43" t="s">
        <v>64</v>
      </c>
      <c r="AS11" t="b">
        <v>1</v>
      </c>
      <c r="AT11">
        <v>20</v>
      </c>
      <c r="AU11" s="44" t="str">
        <f t="array" ref="AU11">_xlfn.IFS(BaseRelatórioGeral[[#This Row],[ID Prédoc]]="Fornecedor não foi pago","Correto",BaseRelatórioGeral[[#This Row],[ID Prédoc]]="Troca Data Pré-Doc para Mês EFDReinf","Incorreto",BaseRelatórioGeral[[#This Row],[ID Prédoc]]="Alterar Data Prédoc - Fornecedor Não foi Pago","Incorreto",BaseRelatórioGeral[[#This Row],[ID Prédoc]]="Data PréDoc OK","Correto",BaseRelatórioGeral[[#This Row],[ID Prédoc]]="Pré-Doc Sem Informação","Pré-Doc Sem Informação")</f>
        <v>Correto</v>
      </c>
      <c r="AV11" s="46" t="str">
        <f>IFERROR((CONCATENATE((MONTH(BaseRelatórioGeral[[#This Row],[Mês Pgto Fornecedor]])),"-",(YEAR(BaseRelatórioGeral[[#This Row],[Data OB Pgto Fornecedor]])))),"")</f>
        <v>5-2026</v>
      </c>
      <c r="AW11" s="46">
        <f>BaseRelatórioGeral[[#This Row],[IR]]+BaseRelatórioGeral[[#This Row],[AGREGADO]]+BaseRelatórioGeral[[#This Row],[CSLL]]+BaseRelatórioGeral[[#This Row],[PIS/PASEP]]+BaseRelatórioGeral[[#This Row],[COFINS]]</f>
        <v>795.48</v>
      </c>
      <c r="AX11" s="46">
        <f>IFERROR((IF((ROUND((IFERROR((BaseRelatórioGeral[[#This Row],[Verificação de Base/Dedução]]-BaseRelatórioGeral[[#This Row],[Alíquota Tab.EFDReinf]]),BaseRelatórioGeral[[#This Row],[Alíquota Tab.EFDReinf]])),2))=0.01,0,IF((ROUND((IFERROR((BaseRelatórioGeral[[#This Row],[Verificação de Base/Dedução]]-BaseRelatórioGeral[[#This Row],[Alíquota Tab.EFDReinf]]),BaseRelatórioGeral[[#This Row],[Alíquota Tab.EFDReinf]])),2))=-0.01,0,(IFERROR((BaseRelatórioGeral[[#This Row],[Verificação de Base/Dedução]]-BaseRelatórioGeral[[#This Row],[Alíquota Tab.EFDReinf]]),BaseRelatórioGeral[[#This Row],[Alíquota Tab.EFDReinf]]))))),BaseRelatórioGeral[[#This Row],[Alíquota Tab.EFDReinf]])</f>
        <v>0</v>
      </c>
      <c r="AY11" s="46" t="str">
        <f>BaseRelatórioGeral[[#This Row],[UG Pagadora]]</f>
        <v>302122</v>
      </c>
      <c r="AZ11" s="46" t="b">
        <f>BaseRelatórioGeral[[#This Row],[Recolhedor Darf]]=BaseRelatórioGeral[[#This Row],[Credor]]</f>
        <v>1</v>
      </c>
      <c r="BA11" s="45" t="str">
        <f>IF(BaseRelatórioGeral[[#This Row],[Conferência de Alíquota]]="AmparadaporMedidaJudicial","OK","Correto")</f>
        <v>Correto</v>
      </c>
      <c r="BB11" s="45" t="str">
        <f>IF(BaseRelatórioGeral[[#This Row],[Conferência de Alíquota]]="AmparadaporMedidaJudicial","AmparadaporMedidaJudicial","Ok")</f>
        <v>Ok</v>
      </c>
    </row>
    <row r="12" spans="2:54" ht="13.95" customHeight="1" x14ac:dyDescent="0.3">
      <c r="E12" t="s">
        <v>85</v>
      </c>
      <c r="F12" t="s">
        <v>54</v>
      </c>
      <c r="G12" s="2" t="s">
        <v>55</v>
      </c>
      <c r="H12" s="2" t="s">
        <v>55</v>
      </c>
      <c r="I12" s="58">
        <v>46160</v>
      </c>
      <c r="J12" s="58">
        <v>46160</v>
      </c>
      <c r="K12" s="2" t="s">
        <v>56</v>
      </c>
      <c r="L12" s="2" t="s">
        <v>86</v>
      </c>
      <c r="M12" s="40">
        <v>45974</v>
      </c>
      <c r="N12" s="2" t="s">
        <v>57</v>
      </c>
      <c r="O12" s="3">
        <v>17029</v>
      </c>
      <c r="P12" t="s">
        <v>58</v>
      </c>
      <c r="Q12" s="2" t="s">
        <v>59</v>
      </c>
      <c r="R12" t="s">
        <v>60</v>
      </c>
      <c r="S12">
        <v>3183.15</v>
      </c>
      <c r="T12" s="11">
        <v>300.81</v>
      </c>
      <c r="U12" s="41" t="s">
        <v>61</v>
      </c>
      <c r="V12" s="42" t="s">
        <v>87</v>
      </c>
      <c r="W12" s="47">
        <v>3183.15</v>
      </c>
      <c r="X12" t="s">
        <v>62</v>
      </c>
      <c r="Y12" s="2" t="s">
        <v>88</v>
      </c>
      <c r="Z12" s="58">
        <v>46160</v>
      </c>
      <c r="AA12" t="s">
        <v>89</v>
      </c>
      <c r="AB12" t="s">
        <v>86</v>
      </c>
      <c r="AC12" t="s">
        <v>90</v>
      </c>
      <c r="AD12" s="13" t="s">
        <v>62</v>
      </c>
      <c r="AE12" s="57" t="s">
        <v>168</v>
      </c>
      <c r="AF12" s="57" t="s">
        <v>168</v>
      </c>
      <c r="AG12" s="57" t="s">
        <v>168</v>
      </c>
      <c r="AH12"/>
      <c r="AI12">
        <v>300.81</v>
      </c>
      <c r="AJ12"/>
      <c r="AK12"/>
      <c r="AL12"/>
      <c r="AM12" t="b">
        <v>0</v>
      </c>
      <c r="AN12" t="s">
        <v>34</v>
      </c>
      <c r="AO12" s="3">
        <v>6190</v>
      </c>
      <c r="AP12" t="s">
        <v>91</v>
      </c>
      <c r="AQ12" t="b">
        <v>1</v>
      </c>
      <c r="AR12" s="43" t="s">
        <v>64</v>
      </c>
      <c r="AS12" t="b">
        <v>1</v>
      </c>
      <c r="AT12">
        <v>7</v>
      </c>
      <c r="AU12" s="44" t="str">
        <f t="array" ref="AU12">_xlfn.IFS(BaseRelatórioGeral[[#This Row],[ID Prédoc]]="Fornecedor não foi pago","Correto",BaseRelatórioGeral[[#This Row],[ID Prédoc]]="Troca Data Pré-Doc para Mês EFDReinf","Incorreto",BaseRelatórioGeral[[#This Row],[ID Prédoc]]="Alterar Data Prédoc - Fornecedor Não foi Pago","Incorreto",BaseRelatórioGeral[[#This Row],[ID Prédoc]]="Data PréDoc OK","Correto",BaseRelatórioGeral[[#This Row],[ID Prédoc]]="Pré-Doc Sem Informação","Pré-Doc Sem Informação")</f>
        <v>Correto</v>
      </c>
      <c r="AV12" s="46" t="str">
        <f>IFERROR((CONCATENATE((MONTH(BaseRelatórioGeral[[#This Row],[Mês Pgto Fornecedor]])),"-",(YEAR(BaseRelatórioGeral[[#This Row],[Data OB Pgto Fornecedor]])))),"")</f>
        <v>5-2026</v>
      </c>
      <c r="AW12" s="46">
        <f>BaseRelatórioGeral[[#This Row],[IR]]+BaseRelatórioGeral[[#This Row],[AGREGADO]]+BaseRelatórioGeral[[#This Row],[CSLL]]+BaseRelatórioGeral[[#This Row],[PIS/PASEP]]+BaseRelatórioGeral[[#This Row],[COFINS]]</f>
        <v>300.81</v>
      </c>
      <c r="AX12" s="46">
        <f>IFERROR((IF((ROUND((IFERROR((BaseRelatórioGeral[[#This Row],[Verificação de Base/Dedução]]-BaseRelatórioGeral[[#This Row],[Alíquota Tab.EFDReinf]]),BaseRelatórioGeral[[#This Row],[Alíquota Tab.EFDReinf]])),2))=0.01,0,IF((ROUND((IFERROR((BaseRelatórioGeral[[#This Row],[Verificação de Base/Dedução]]-BaseRelatórioGeral[[#This Row],[Alíquota Tab.EFDReinf]]),BaseRelatórioGeral[[#This Row],[Alíquota Tab.EFDReinf]])),2))=-0.01,0,(IFERROR((BaseRelatórioGeral[[#This Row],[Verificação de Base/Dedução]]-BaseRelatórioGeral[[#This Row],[Alíquota Tab.EFDReinf]]),BaseRelatórioGeral[[#This Row],[Alíquota Tab.EFDReinf]]))))),BaseRelatórioGeral[[#This Row],[Alíquota Tab.EFDReinf]])</f>
        <v>0</v>
      </c>
      <c r="AY12" s="46" t="str">
        <f>BaseRelatórioGeral[[#This Row],[UG Pagadora]]</f>
        <v>302122</v>
      </c>
      <c r="AZ12" s="46" t="b">
        <f>BaseRelatórioGeral[[#This Row],[Recolhedor Darf]]=BaseRelatórioGeral[[#This Row],[Credor]]</f>
        <v>1</v>
      </c>
      <c r="BA12" s="45" t="str">
        <f>IF(BaseRelatórioGeral[[#This Row],[Conferência de Alíquota]]="AmparadaporMedidaJudicial","OK","Correto")</f>
        <v>Correto</v>
      </c>
      <c r="BB12" s="45" t="str">
        <f>IF(BaseRelatórioGeral[[#This Row],[Conferência de Alíquota]]="AmparadaporMedidaJudicial","AmparadaporMedidaJudicial","Ok")</f>
        <v>Ok</v>
      </c>
    </row>
    <row r="13" spans="2:54" x14ac:dyDescent="0.3">
      <c r="E13" t="s">
        <v>92</v>
      </c>
      <c r="F13" t="s">
        <v>54</v>
      </c>
      <c r="G13" s="2" t="s">
        <v>55</v>
      </c>
      <c r="H13" s="2" t="s">
        <v>55</v>
      </c>
      <c r="I13" s="58">
        <v>46161</v>
      </c>
      <c r="J13" s="58">
        <v>46161</v>
      </c>
      <c r="K13" s="2" t="s">
        <v>56</v>
      </c>
      <c r="L13" s="48">
        <v>23734075000100</v>
      </c>
      <c r="M13" s="40">
        <v>45978</v>
      </c>
      <c r="N13" s="2" t="s">
        <v>57</v>
      </c>
      <c r="O13" s="3">
        <v>17033</v>
      </c>
      <c r="P13" t="s">
        <v>58</v>
      </c>
      <c r="Q13" s="2" t="s">
        <v>59</v>
      </c>
      <c r="R13"/>
      <c r="S13">
        <v>26853.67</v>
      </c>
      <c r="T13" s="11">
        <v>2537.6799999999998</v>
      </c>
      <c r="U13" s="41"/>
      <c r="V13" s="42" t="s">
        <v>93</v>
      </c>
      <c r="W13" s="47">
        <v>26853.67</v>
      </c>
      <c r="X13" t="s">
        <v>62</v>
      </c>
      <c r="Y13" s="2" t="s">
        <v>94</v>
      </c>
      <c r="Z13" s="58">
        <v>46161</v>
      </c>
      <c r="AA13" t="s">
        <v>95</v>
      </c>
      <c r="AB13" s="49">
        <v>23734075000100</v>
      </c>
      <c r="AC13" t="s">
        <v>96</v>
      </c>
      <c r="AD13" s="13" t="s">
        <v>62</v>
      </c>
      <c r="AE13" s="57" t="s">
        <v>168</v>
      </c>
      <c r="AF13" s="57" t="s">
        <v>168</v>
      </c>
      <c r="AG13" s="57" t="s">
        <v>168</v>
      </c>
      <c r="AH13"/>
      <c r="AI13">
        <v>2537.6799999999998</v>
      </c>
      <c r="AJ13"/>
      <c r="AK13"/>
      <c r="AL13"/>
      <c r="AM13" t="b">
        <v>0</v>
      </c>
      <c r="AN13" t="s">
        <v>34</v>
      </c>
      <c r="AO13" s="3">
        <v>6190</v>
      </c>
      <c r="AP13" t="s">
        <v>65</v>
      </c>
      <c r="AQ13" t="b">
        <v>1</v>
      </c>
      <c r="AR13" s="43" t="s">
        <v>64</v>
      </c>
      <c r="AS13" t="b">
        <v>1</v>
      </c>
      <c r="AT13">
        <v>33</v>
      </c>
      <c r="AU13" s="44" t="str">
        <f t="array" ref="AU13">_xlfn.IFS(BaseRelatórioGeral[[#This Row],[ID Prédoc]]="Fornecedor não foi pago","Correto",BaseRelatórioGeral[[#This Row],[ID Prédoc]]="Troca Data Pré-Doc para Mês EFDReinf","Incorreto",BaseRelatórioGeral[[#This Row],[ID Prédoc]]="Alterar Data Prédoc - Fornecedor Não foi Pago","Incorreto",BaseRelatórioGeral[[#This Row],[ID Prédoc]]="Data PréDoc OK","Correto",BaseRelatórioGeral[[#This Row],[ID Prédoc]]="Pré-Doc Sem Informação","Pré-Doc Sem Informação")</f>
        <v>Correto</v>
      </c>
      <c r="AV13" s="46" t="str">
        <f>IFERROR((CONCATENATE((MONTH(BaseRelatórioGeral[[#This Row],[Mês Pgto Fornecedor]])),"-",(YEAR(BaseRelatórioGeral[[#This Row],[Data OB Pgto Fornecedor]])))),"")</f>
        <v>5-2026</v>
      </c>
      <c r="AW13" s="46">
        <f>BaseRelatórioGeral[[#This Row],[IR]]+BaseRelatórioGeral[[#This Row],[AGREGADO]]+BaseRelatórioGeral[[#This Row],[CSLL]]+BaseRelatórioGeral[[#This Row],[PIS/PASEP]]+BaseRelatórioGeral[[#This Row],[COFINS]]</f>
        <v>2537.6799999999998</v>
      </c>
      <c r="AX13" s="46">
        <f>IFERROR((IF((ROUND((IFERROR((BaseRelatórioGeral[[#This Row],[Verificação de Base/Dedução]]-BaseRelatórioGeral[[#This Row],[Alíquota Tab.EFDReinf]]),BaseRelatórioGeral[[#This Row],[Alíquota Tab.EFDReinf]])),2))=0.01,0,IF((ROUND((IFERROR((BaseRelatórioGeral[[#This Row],[Verificação de Base/Dedução]]-BaseRelatórioGeral[[#This Row],[Alíquota Tab.EFDReinf]]),BaseRelatórioGeral[[#This Row],[Alíquota Tab.EFDReinf]])),2))=-0.01,0,(IFERROR((BaseRelatórioGeral[[#This Row],[Verificação de Base/Dedução]]-BaseRelatórioGeral[[#This Row],[Alíquota Tab.EFDReinf]]),BaseRelatórioGeral[[#This Row],[Alíquota Tab.EFDReinf]]))))),BaseRelatórioGeral[[#This Row],[Alíquota Tab.EFDReinf]])</f>
        <v>0</v>
      </c>
      <c r="AY13" s="46" t="str">
        <f>BaseRelatórioGeral[[#This Row],[UG Pagadora]]</f>
        <v>302122</v>
      </c>
      <c r="AZ13" s="46" t="b">
        <f>BaseRelatórioGeral[[#This Row],[Recolhedor Darf]]=BaseRelatórioGeral[[#This Row],[Credor]]</f>
        <v>1</v>
      </c>
      <c r="BA13" s="45" t="str">
        <f>IF(BaseRelatórioGeral[[#This Row],[Conferência de Alíquota]]="AmparadaporMedidaJudicial","OK","Correto")</f>
        <v>Correto</v>
      </c>
      <c r="BB13" s="45" t="str">
        <f>IF(BaseRelatórioGeral[[#This Row],[Conferência de Alíquota]]="AmparadaporMedidaJudicial","AmparadaporMedidaJudicial","Ok")</f>
        <v>Ok</v>
      </c>
    </row>
    <row r="14" spans="2:54" x14ac:dyDescent="0.3">
      <c r="E14" t="s">
        <v>97</v>
      </c>
      <c r="F14" t="s">
        <v>54</v>
      </c>
      <c r="G14" s="2" t="s">
        <v>55</v>
      </c>
      <c r="H14" s="2" t="s">
        <v>55</v>
      </c>
      <c r="I14" s="58">
        <v>46162</v>
      </c>
      <c r="J14" s="58">
        <v>46162</v>
      </c>
      <c r="K14" s="2" t="s">
        <v>56</v>
      </c>
      <c r="L14" s="2" t="s">
        <v>98</v>
      </c>
      <c r="M14" s="40">
        <v>45978</v>
      </c>
      <c r="N14" s="2" t="s">
        <v>99</v>
      </c>
      <c r="O14" s="3">
        <v>17026</v>
      </c>
      <c r="P14" t="s">
        <v>58</v>
      </c>
      <c r="Q14" s="2" t="s">
        <v>59</v>
      </c>
      <c r="R14" t="s">
        <v>60</v>
      </c>
      <c r="S14">
        <v>3347.1</v>
      </c>
      <c r="T14" s="11">
        <v>235.97</v>
      </c>
      <c r="U14" s="41" t="s">
        <v>61</v>
      </c>
      <c r="V14" s="42" t="s">
        <v>100</v>
      </c>
      <c r="W14" s="47">
        <v>3347.1</v>
      </c>
      <c r="X14" t="s">
        <v>101</v>
      </c>
      <c r="Y14" s="2" t="s">
        <v>102</v>
      </c>
      <c r="Z14" s="58">
        <v>46162</v>
      </c>
      <c r="AA14" t="s">
        <v>103</v>
      </c>
      <c r="AB14" s="50" t="s">
        <v>104</v>
      </c>
      <c r="AC14" t="s">
        <v>105</v>
      </c>
      <c r="AD14" s="13" t="s">
        <v>101</v>
      </c>
      <c r="AE14" s="57" t="s">
        <v>168</v>
      </c>
      <c r="AF14" s="57" t="s">
        <v>168</v>
      </c>
      <c r="AG14" s="57" t="s">
        <v>168</v>
      </c>
      <c r="AH14"/>
      <c r="AI14">
        <v>235.97</v>
      </c>
      <c r="AJ14"/>
      <c r="AK14"/>
      <c r="AL14"/>
      <c r="AM14" t="b">
        <v>0</v>
      </c>
      <c r="AN14" t="s">
        <v>34</v>
      </c>
      <c r="AO14" s="3">
        <v>6188</v>
      </c>
      <c r="AP14" t="s">
        <v>106</v>
      </c>
      <c r="AQ14" t="b">
        <v>1</v>
      </c>
      <c r="AR14" s="43" t="s">
        <v>64</v>
      </c>
      <c r="AS14" t="b">
        <v>1</v>
      </c>
      <c r="AT14">
        <v>15</v>
      </c>
      <c r="AU14" s="44" t="str">
        <f t="array" ref="AU14">_xlfn.IFS(BaseRelatórioGeral[[#This Row],[ID Prédoc]]="Fornecedor não foi pago","Correto",BaseRelatórioGeral[[#This Row],[ID Prédoc]]="Troca Data Pré-Doc para Mês EFDReinf","Incorreto",BaseRelatórioGeral[[#This Row],[ID Prédoc]]="Alterar Data Prédoc - Fornecedor Não foi Pago","Incorreto",BaseRelatórioGeral[[#This Row],[ID Prédoc]]="Data PréDoc OK","Correto",BaseRelatórioGeral[[#This Row],[ID Prédoc]]="Pré-Doc Sem Informação","Pré-Doc Sem Informação")</f>
        <v>Correto</v>
      </c>
      <c r="AV14" s="46" t="str">
        <f>IFERROR((CONCATENATE((MONTH(BaseRelatórioGeral[[#This Row],[Mês Pgto Fornecedor]])),"-",(YEAR(BaseRelatórioGeral[[#This Row],[Data OB Pgto Fornecedor]])))),"")</f>
        <v>5-2026</v>
      </c>
      <c r="AW14" s="46">
        <f>BaseRelatórioGeral[[#This Row],[IR]]+BaseRelatórioGeral[[#This Row],[AGREGADO]]+BaseRelatórioGeral[[#This Row],[CSLL]]+BaseRelatórioGeral[[#This Row],[PIS/PASEP]]+BaseRelatórioGeral[[#This Row],[COFINS]]</f>
        <v>235.97</v>
      </c>
      <c r="AX14" s="46">
        <f>IFERROR((IF((ROUND((IFERROR((BaseRelatórioGeral[[#This Row],[Verificação de Base/Dedução]]-BaseRelatórioGeral[[#This Row],[Alíquota Tab.EFDReinf]]),BaseRelatórioGeral[[#This Row],[Alíquota Tab.EFDReinf]])),2))=0.01,0,IF((ROUND((IFERROR((BaseRelatórioGeral[[#This Row],[Verificação de Base/Dedução]]-BaseRelatórioGeral[[#This Row],[Alíquota Tab.EFDReinf]]),BaseRelatórioGeral[[#This Row],[Alíquota Tab.EFDReinf]])),2))=-0.01,0,(IFERROR((BaseRelatórioGeral[[#This Row],[Verificação de Base/Dedução]]-BaseRelatórioGeral[[#This Row],[Alíquota Tab.EFDReinf]]),BaseRelatórioGeral[[#This Row],[Alíquota Tab.EFDReinf]]))))),BaseRelatórioGeral[[#This Row],[Alíquota Tab.EFDReinf]])</f>
        <v>0</v>
      </c>
      <c r="AY14" s="46" t="str">
        <f>BaseRelatórioGeral[[#This Row],[UG Pagadora]]</f>
        <v>302122</v>
      </c>
      <c r="AZ14" s="46" t="b">
        <f>BaseRelatórioGeral[[#This Row],[Recolhedor Darf]]=BaseRelatórioGeral[[#This Row],[Credor]]</f>
        <v>0</v>
      </c>
      <c r="BA14" s="45" t="str">
        <f>IF(BaseRelatórioGeral[[#This Row],[Conferência de Alíquota]]="AmparadaporMedidaJudicial","OK","Correto")</f>
        <v>Correto</v>
      </c>
      <c r="BB14" s="45" t="str">
        <f>IF(BaseRelatórioGeral[[#This Row],[Conferência de Alíquota]]="AmparadaporMedidaJudicial","AmparadaporMedidaJudicial","Ok")</f>
        <v>Ok</v>
      </c>
    </row>
    <row r="15" spans="2:54" x14ac:dyDescent="0.3">
      <c r="E15" t="s">
        <v>107</v>
      </c>
      <c r="F15" t="s">
        <v>54</v>
      </c>
      <c r="G15" s="2" t="s">
        <v>55</v>
      </c>
      <c r="H15" s="2" t="s">
        <v>55</v>
      </c>
      <c r="I15" s="58">
        <v>46163</v>
      </c>
      <c r="J15" s="58">
        <v>46163</v>
      </c>
      <c r="K15" s="2" t="s">
        <v>56</v>
      </c>
      <c r="L15" s="51">
        <v>27996382000101</v>
      </c>
      <c r="M15" s="40">
        <v>45978</v>
      </c>
      <c r="N15" s="2" t="s">
        <v>108</v>
      </c>
      <c r="O15" s="3">
        <v>17023</v>
      </c>
      <c r="P15" t="s">
        <v>58</v>
      </c>
      <c r="Q15" s="2" t="s">
        <v>59</v>
      </c>
      <c r="R15" t="s">
        <v>60</v>
      </c>
      <c r="S15">
        <v>34.11</v>
      </c>
      <c r="T15" s="11">
        <v>2.4</v>
      </c>
      <c r="U15" s="41" t="s">
        <v>61</v>
      </c>
      <c r="V15" s="42" t="s">
        <v>109</v>
      </c>
      <c r="W15" s="47">
        <v>41756.61</v>
      </c>
      <c r="X15" t="s">
        <v>110</v>
      </c>
      <c r="Y15" s="2" t="s">
        <v>111</v>
      </c>
      <c r="Z15" s="58">
        <v>46163</v>
      </c>
      <c r="AA15" t="s">
        <v>103</v>
      </c>
      <c r="AB15" s="52">
        <v>27996382000101</v>
      </c>
      <c r="AC15" t="s">
        <v>112</v>
      </c>
      <c r="AD15" s="13" t="s">
        <v>101</v>
      </c>
      <c r="AE15" s="57" t="s">
        <v>168</v>
      </c>
      <c r="AF15" s="57" t="s">
        <v>168</v>
      </c>
      <c r="AG15" s="57" t="s">
        <v>168</v>
      </c>
      <c r="AH15"/>
      <c r="AI15">
        <v>2.4</v>
      </c>
      <c r="AJ15"/>
      <c r="AK15"/>
      <c r="AL15"/>
      <c r="AM15" t="b">
        <v>0</v>
      </c>
      <c r="AN15" t="s">
        <v>34</v>
      </c>
      <c r="AO15" s="3">
        <v>6175</v>
      </c>
      <c r="AP15" t="s">
        <v>113</v>
      </c>
      <c r="AQ15" t="b">
        <v>1</v>
      </c>
      <c r="AR15" s="43" t="s">
        <v>64</v>
      </c>
      <c r="AS15" t="b">
        <v>0</v>
      </c>
      <c r="AT15">
        <v>8</v>
      </c>
      <c r="AU15" s="44" t="str">
        <f t="array" ref="AU15">_xlfn.IFS(BaseRelatórioGeral[[#This Row],[ID Prédoc]]="Fornecedor não foi pago","Correto",BaseRelatórioGeral[[#This Row],[ID Prédoc]]="Troca Data Pré-Doc para Mês EFDReinf","Incorreto",BaseRelatórioGeral[[#This Row],[ID Prédoc]]="Alterar Data Prédoc - Fornecedor Não foi Pago","Incorreto",BaseRelatórioGeral[[#This Row],[ID Prédoc]]="Data PréDoc OK","Correto",BaseRelatórioGeral[[#This Row],[ID Prédoc]]="Pré-Doc Sem Informação","Pré-Doc Sem Informação")</f>
        <v>Correto</v>
      </c>
      <c r="AV15" s="46" t="str">
        <f>IFERROR((CONCATENATE((MONTH(BaseRelatórioGeral[[#This Row],[Mês Pgto Fornecedor]])),"-",(YEAR(BaseRelatórioGeral[[#This Row],[Data OB Pgto Fornecedor]])))),"")</f>
        <v>5-2026</v>
      </c>
      <c r="AW15" s="46">
        <f>BaseRelatórioGeral[[#This Row],[IR]]+BaseRelatórioGeral[[#This Row],[AGREGADO]]+BaseRelatórioGeral[[#This Row],[CSLL]]+BaseRelatórioGeral[[#This Row],[PIS/PASEP]]+BaseRelatórioGeral[[#This Row],[COFINS]]</f>
        <v>2.4</v>
      </c>
      <c r="AX15" s="46">
        <f>IFERROR((IF((ROUND((IFERROR((BaseRelatórioGeral[[#This Row],[Verificação de Base/Dedução]]-BaseRelatórioGeral[[#This Row],[Alíquota Tab.EFDReinf]]),BaseRelatórioGeral[[#This Row],[Alíquota Tab.EFDReinf]])),2))=0.01,0,IF((ROUND((IFERROR((BaseRelatórioGeral[[#This Row],[Verificação de Base/Dedução]]-BaseRelatórioGeral[[#This Row],[Alíquota Tab.EFDReinf]]),BaseRelatórioGeral[[#This Row],[Alíquota Tab.EFDReinf]])),2))=-0.01,0,(IFERROR((BaseRelatórioGeral[[#This Row],[Verificação de Base/Dedução]]-BaseRelatórioGeral[[#This Row],[Alíquota Tab.EFDReinf]]),BaseRelatórioGeral[[#This Row],[Alíquota Tab.EFDReinf]]))))),BaseRelatórioGeral[[#This Row],[Alíquota Tab.EFDReinf]])</f>
        <v>0</v>
      </c>
      <c r="AY15" s="46" t="str">
        <f>BaseRelatórioGeral[[#This Row],[UG Pagadora]]</f>
        <v>302122</v>
      </c>
      <c r="AZ15" s="46" t="b">
        <f>BaseRelatórioGeral[[#This Row],[Recolhedor Darf]]=BaseRelatórioGeral[[#This Row],[Credor]]</f>
        <v>1</v>
      </c>
      <c r="BA15" s="45" t="str">
        <f>IF(BaseRelatórioGeral[[#This Row],[Conferência de Alíquota]]="AmparadaporMedidaJudicial","OK","Correto")</f>
        <v>Correto</v>
      </c>
      <c r="BB15" s="45" t="str">
        <f>IF(BaseRelatórioGeral[[#This Row],[Conferência de Alíquota]]="AmparadaporMedidaJudicial","AmparadaporMedidaJudicial","Ok")</f>
        <v>Ok</v>
      </c>
    </row>
    <row r="16" spans="2:54" x14ac:dyDescent="0.3">
      <c r="E16" t="s">
        <v>107</v>
      </c>
      <c r="F16" t="s">
        <v>54</v>
      </c>
      <c r="G16" s="2" t="s">
        <v>55</v>
      </c>
      <c r="H16" s="2" t="s">
        <v>55</v>
      </c>
      <c r="I16" s="58">
        <v>46164</v>
      </c>
      <c r="J16" s="58">
        <v>46164</v>
      </c>
      <c r="K16" s="2" t="s">
        <v>56</v>
      </c>
      <c r="L16" s="48">
        <v>8220952000122</v>
      </c>
      <c r="M16" s="40">
        <v>45978</v>
      </c>
      <c r="N16" s="2" t="s">
        <v>108</v>
      </c>
      <c r="O16" s="3">
        <v>17023</v>
      </c>
      <c r="P16" t="s">
        <v>58</v>
      </c>
      <c r="Q16" s="2" t="s">
        <v>59</v>
      </c>
      <c r="R16" t="s">
        <v>60</v>
      </c>
      <c r="S16">
        <v>83.04</v>
      </c>
      <c r="T16" s="11">
        <v>5.85</v>
      </c>
      <c r="U16" s="41" t="s">
        <v>61</v>
      </c>
      <c r="V16" s="42" t="s">
        <v>109</v>
      </c>
      <c r="W16" s="47">
        <v>41756.61</v>
      </c>
      <c r="X16" t="s">
        <v>110</v>
      </c>
      <c r="Y16" s="2" t="s">
        <v>111</v>
      </c>
      <c r="Z16" s="58">
        <v>46164</v>
      </c>
      <c r="AA16" t="s">
        <v>103</v>
      </c>
      <c r="AB16" s="49">
        <v>8220952000122</v>
      </c>
      <c r="AC16" t="s">
        <v>114</v>
      </c>
      <c r="AD16" s="13" t="s">
        <v>101</v>
      </c>
      <c r="AE16" s="57" t="s">
        <v>168</v>
      </c>
      <c r="AF16" s="57" t="s">
        <v>168</v>
      </c>
      <c r="AG16" s="57" t="s">
        <v>168</v>
      </c>
      <c r="AH16"/>
      <c r="AI16">
        <v>5.85</v>
      </c>
      <c r="AJ16"/>
      <c r="AK16"/>
      <c r="AL16"/>
      <c r="AM16" t="b">
        <v>0</v>
      </c>
      <c r="AN16" t="s">
        <v>34</v>
      </c>
      <c r="AO16" s="3">
        <v>6175</v>
      </c>
      <c r="AP16" t="s">
        <v>113</v>
      </c>
      <c r="AQ16" t="b">
        <v>1</v>
      </c>
      <c r="AR16" s="43" t="s">
        <v>64</v>
      </c>
      <c r="AS16" t="b">
        <v>0</v>
      </c>
      <c r="AT16">
        <v>9</v>
      </c>
      <c r="AU16" s="44" t="str">
        <f t="array" ref="AU16">_xlfn.IFS(BaseRelatórioGeral[[#This Row],[ID Prédoc]]="Fornecedor não foi pago","Correto",BaseRelatórioGeral[[#This Row],[ID Prédoc]]="Troca Data Pré-Doc para Mês EFDReinf","Incorreto",BaseRelatórioGeral[[#This Row],[ID Prédoc]]="Alterar Data Prédoc - Fornecedor Não foi Pago","Incorreto",BaseRelatórioGeral[[#This Row],[ID Prédoc]]="Data PréDoc OK","Correto",BaseRelatórioGeral[[#This Row],[ID Prédoc]]="Pré-Doc Sem Informação","Pré-Doc Sem Informação")</f>
        <v>Correto</v>
      </c>
      <c r="AV16" s="46" t="str">
        <f>IFERROR((CONCATENATE((MONTH(BaseRelatórioGeral[[#This Row],[Mês Pgto Fornecedor]])),"-",(YEAR(BaseRelatórioGeral[[#This Row],[Data OB Pgto Fornecedor]])))),"")</f>
        <v>5-2026</v>
      </c>
      <c r="AW16" s="46">
        <f>BaseRelatórioGeral[[#This Row],[IR]]+BaseRelatórioGeral[[#This Row],[AGREGADO]]+BaseRelatórioGeral[[#This Row],[CSLL]]+BaseRelatórioGeral[[#This Row],[PIS/PASEP]]+BaseRelatórioGeral[[#This Row],[COFINS]]</f>
        <v>5.85</v>
      </c>
      <c r="AX16" s="46">
        <f>IFERROR((IF((ROUND((IFERROR((BaseRelatórioGeral[[#This Row],[Verificação de Base/Dedução]]-BaseRelatórioGeral[[#This Row],[Alíquota Tab.EFDReinf]]),BaseRelatórioGeral[[#This Row],[Alíquota Tab.EFDReinf]])),2))=0.01,0,IF((ROUND((IFERROR((BaseRelatórioGeral[[#This Row],[Verificação de Base/Dedução]]-BaseRelatórioGeral[[#This Row],[Alíquota Tab.EFDReinf]]),BaseRelatórioGeral[[#This Row],[Alíquota Tab.EFDReinf]])),2))=-0.01,0,(IFERROR((BaseRelatórioGeral[[#This Row],[Verificação de Base/Dedução]]-BaseRelatórioGeral[[#This Row],[Alíquota Tab.EFDReinf]]),BaseRelatórioGeral[[#This Row],[Alíquota Tab.EFDReinf]]))))),BaseRelatórioGeral[[#This Row],[Alíquota Tab.EFDReinf]])</f>
        <v>0</v>
      </c>
      <c r="AY16" s="46" t="str">
        <f>BaseRelatórioGeral[[#This Row],[UG Pagadora]]</f>
        <v>302122</v>
      </c>
      <c r="AZ16" s="46" t="b">
        <f>BaseRelatórioGeral[[#This Row],[Recolhedor Darf]]=BaseRelatórioGeral[[#This Row],[Credor]]</f>
        <v>1</v>
      </c>
      <c r="BA16" s="45" t="str">
        <f>IF(BaseRelatórioGeral[[#This Row],[Conferência de Alíquota]]="AmparadaporMedidaJudicial","OK","Correto")</f>
        <v>Correto</v>
      </c>
      <c r="BB16" s="45" t="str">
        <f>IF(BaseRelatórioGeral[[#This Row],[Conferência de Alíquota]]="AmparadaporMedidaJudicial","AmparadaporMedidaJudicial","Ok")</f>
        <v>Ok</v>
      </c>
    </row>
    <row r="17" spans="5:54" x14ac:dyDescent="0.3">
      <c r="E17" t="s">
        <v>107</v>
      </c>
      <c r="F17" t="s">
        <v>54</v>
      </c>
      <c r="G17" s="2" t="s">
        <v>55</v>
      </c>
      <c r="H17" s="2" t="s">
        <v>55</v>
      </c>
      <c r="I17" s="58">
        <v>46165</v>
      </c>
      <c r="J17" s="58">
        <v>46165</v>
      </c>
      <c r="K17" s="2" t="s">
        <v>56</v>
      </c>
      <c r="L17" s="48">
        <v>2604236000162</v>
      </c>
      <c r="M17" s="40">
        <v>45978</v>
      </c>
      <c r="N17" s="2" t="s">
        <v>108</v>
      </c>
      <c r="O17" s="3">
        <v>17023</v>
      </c>
      <c r="P17" t="s">
        <v>58</v>
      </c>
      <c r="Q17" s="2" t="s">
        <v>59</v>
      </c>
      <c r="R17" t="s">
        <v>60</v>
      </c>
      <c r="S17">
        <v>279.54000000000002</v>
      </c>
      <c r="T17" s="11">
        <v>19.71</v>
      </c>
      <c r="U17" s="41" t="s">
        <v>61</v>
      </c>
      <c r="V17" s="42" t="s">
        <v>109</v>
      </c>
      <c r="W17" s="47">
        <v>41756.61</v>
      </c>
      <c r="X17" t="s">
        <v>101</v>
      </c>
      <c r="Y17" s="2" t="s">
        <v>111</v>
      </c>
      <c r="Z17" s="58">
        <v>46165</v>
      </c>
      <c r="AA17" t="s">
        <v>103</v>
      </c>
      <c r="AB17" s="49">
        <v>2604236000162</v>
      </c>
      <c r="AC17" t="s">
        <v>115</v>
      </c>
      <c r="AD17" s="13" t="s">
        <v>101</v>
      </c>
      <c r="AE17" s="57" t="s">
        <v>168</v>
      </c>
      <c r="AF17" s="57" t="s">
        <v>168</v>
      </c>
      <c r="AG17" s="57" t="s">
        <v>168</v>
      </c>
      <c r="AH17"/>
      <c r="AI17">
        <v>19.71</v>
      </c>
      <c r="AJ17"/>
      <c r="AK17"/>
      <c r="AL17"/>
      <c r="AM17" t="b">
        <v>0</v>
      </c>
      <c r="AN17" t="s">
        <v>34</v>
      </c>
      <c r="AO17" s="3">
        <v>6175</v>
      </c>
      <c r="AP17" t="s">
        <v>113</v>
      </c>
      <c r="AQ17" t="b">
        <v>1</v>
      </c>
      <c r="AR17" s="43" t="s">
        <v>64</v>
      </c>
      <c r="AS17" t="b">
        <v>1</v>
      </c>
      <c r="AT17">
        <v>10</v>
      </c>
      <c r="AU17" s="44" t="str">
        <f t="array" ref="AU17">_xlfn.IFS(BaseRelatórioGeral[[#This Row],[ID Prédoc]]="Fornecedor não foi pago","Correto",BaseRelatórioGeral[[#This Row],[ID Prédoc]]="Troca Data Pré-Doc para Mês EFDReinf","Incorreto",BaseRelatórioGeral[[#This Row],[ID Prédoc]]="Alterar Data Prédoc - Fornecedor Não foi Pago","Incorreto",BaseRelatórioGeral[[#This Row],[ID Prédoc]]="Data PréDoc OK","Correto",BaseRelatórioGeral[[#This Row],[ID Prédoc]]="Pré-Doc Sem Informação","Pré-Doc Sem Informação")</f>
        <v>Correto</v>
      </c>
      <c r="AV17" s="46" t="str">
        <f>IFERROR((CONCATENATE((MONTH(BaseRelatórioGeral[[#This Row],[Mês Pgto Fornecedor]])),"-",(YEAR(BaseRelatórioGeral[[#This Row],[Data OB Pgto Fornecedor]])))),"")</f>
        <v>5-2026</v>
      </c>
      <c r="AW17" s="46">
        <f>BaseRelatórioGeral[[#This Row],[IR]]+BaseRelatórioGeral[[#This Row],[AGREGADO]]+BaseRelatórioGeral[[#This Row],[CSLL]]+BaseRelatórioGeral[[#This Row],[PIS/PASEP]]+BaseRelatórioGeral[[#This Row],[COFINS]]</f>
        <v>19.71</v>
      </c>
      <c r="AX17" s="46">
        <f>IFERROR((IF((ROUND((IFERROR((BaseRelatórioGeral[[#This Row],[Verificação de Base/Dedução]]-BaseRelatórioGeral[[#This Row],[Alíquota Tab.EFDReinf]]),BaseRelatórioGeral[[#This Row],[Alíquota Tab.EFDReinf]])),2))=0.01,0,IF((ROUND((IFERROR((BaseRelatórioGeral[[#This Row],[Verificação de Base/Dedução]]-BaseRelatórioGeral[[#This Row],[Alíquota Tab.EFDReinf]]),BaseRelatórioGeral[[#This Row],[Alíquota Tab.EFDReinf]])),2))=-0.01,0,(IFERROR((BaseRelatórioGeral[[#This Row],[Verificação de Base/Dedução]]-BaseRelatórioGeral[[#This Row],[Alíquota Tab.EFDReinf]]),BaseRelatórioGeral[[#This Row],[Alíquota Tab.EFDReinf]]))))),BaseRelatórioGeral[[#This Row],[Alíquota Tab.EFDReinf]])</f>
        <v>0</v>
      </c>
      <c r="AY17" s="46" t="str">
        <f>BaseRelatórioGeral[[#This Row],[UG Pagadora]]</f>
        <v>302122</v>
      </c>
      <c r="AZ17" s="46" t="b">
        <f>BaseRelatórioGeral[[#This Row],[Recolhedor Darf]]=BaseRelatórioGeral[[#This Row],[Credor]]</f>
        <v>1</v>
      </c>
      <c r="BA17" s="45" t="str">
        <f>IF(BaseRelatórioGeral[[#This Row],[Conferência de Alíquota]]="AmparadaporMedidaJudicial","OK","Correto")</f>
        <v>Correto</v>
      </c>
      <c r="BB17" s="45" t="str">
        <f>IF(BaseRelatórioGeral[[#This Row],[Conferência de Alíquota]]="AmparadaporMedidaJudicial","AmparadaporMedidaJudicial","Ok")</f>
        <v>Ok</v>
      </c>
    </row>
    <row r="18" spans="5:54" x14ac:dyDescent="0.3">
      <c r="E18" t="s">
        <v>107</v>
      </c>
      <c r="F18" t="s">
        <v>54</v>
      </c>
      <c r="G18" s="2" t="s">
        <v>55</v>
      </c>
      <c r="H18" s="2" t="s">
        <v>55</v>
      </c>
      <c r="I18" s="58">
        <v>46166</v>
      </c>
      <c r="J18" s="58">
        <v>46166</v>
      </c>
      <c r="K18" s="2" t="s">
        <v>56</v>
      </c>
      <c r="L18" s="48">
        <v>96758461000105</v>
      </c>
      <c r="M18" s="40">
        <v>45978</v>
      </c>
      <c r="N18" s="2" t="s">
        <v>108</v>
      </c>
      <c r="O18" s="3">
        <v>17023</v>
      </c>
      <c r="P18" t="s">
        <v>58</v>
      </c>
      <c r="Q18" s="2" t="s">
        <v>59</v>
      </c>
      <c r="R18" t="s">
        <v>60</v>
      </c>
      <c r="S18">
        <v>59.46</v>
      </c>
      <c r="T18" s="11">
        <v>4.1900000000000004</v>
      </c>
      <c r="U18" s="41" t="s">
        <v>61</v>
      </c>
      <c r="V18" s="42" t="s">
        <v>109</v>
      </c>
      <c r="W18" s="47">
        <v>41756.61</v>
      </c>
      <c r="X18" t="s">
        <v>101</v>
      </c>
      <c r="Y18" s="2" t="s">
        <v>111</v>
      </c>
      <c r="Z18" s="58">
        <v>46166</v>
      </c>
      <c r="AA18" t="s">
        <v>103</v>
      </c>
      <c r="AB18" s="49">
        <v>96758461000105</v>
      </c>
      <c r="AC18" t="s">
        <v>116</v>
      </c>
      <c r="AD18" s="13" t="s">
        <v>101</v>
      </c>
      <c r="AE18" s="57" t="s">
        <v>168</v>
      </c>
      <c r="AF18" s="57" t="s">
        <v>168</v>
      </c>
      <c r="AG18" s="57" t="s">
        <v>168</v>
      </c>
      <c r="AH18"/>
      <c r="AI18">
        <v>4.1900000000000004</v>
      </c>
      <c r="AJ18"/>
      <c r="AK18"/>
      <c r="AL18"/>
      <c r="AM18" t="b">
        <v>0</v>
      </c>
      <c r="AN18" t="s">
        <v>34</v>
      </c>
      <c r="AO18" s="3">
        <v>6175</v>
      </c>
      <c r="AP18" t="s">
        <v>113</v>
      </c>
      <c r="AQ18" t="b">
        <v>1</v>
      </c>
      <c r="AR18" s="43" t="s">
        <v>64</v>
      </c>
      <c r="AS18" t="b">
        <v>1</v>
      </c>
      <c r="AT18">
        <v>11</v>
      </c>
      <c r="AU18" s="44" t="str">
        <f t="array" ref="AU18">_xlfn.IFS(BaseRelatórioGeral[[#This Row],[ID Prédoc]]="Fornecedor não foi pago","Correto",BaseRelatórioGeral[[#This Row],[ID Prédoc]]="Troca Data Pré-Doc para Mês EFDReinf","Incorreto",BaseRelatórioGeral[[#This Row],[ID Prédoc]]="Alterar Data Prédoc - Fornecedor Não foi Pago","Incorreto",BaseRelatórioGeral[[#This Row],[ID Prédoc]]="Data PréDoc OK","Correto",BaseRelatórioGeral[[#This Row],[ID Prédoc]]="Pré-Doc Sem Informação","Pré-Doc Sem Informação")</f>
        <v>Correto</v>
      </c>
      <c r="AV18" s="46" t="str">
        <f>IFERROR((CONCATENATE((MONTH(BaseRelatórioGeral[[#This Row],[Mês Pgto Fornecedor]])),"-",(YEAR(BaseRelatórioGeral[[#This Row],[Data OB Pgto Fornecedor]])))),"")</f>
        <v>5-2026</v>
      </c>
      <c r="AW18" s="46">
        <f>BaseRelatórioGeral[[#This Row],[IR]]+BaseRelatórioGeral[[#This Row],[AGREGADO]]+BaseRelatórioGeral[[#This Row],[CSLL]]+BaseRelatórioGeral[[#This Row],[PIS/PASEP]]+BaseRelatórioGeral[[#This Row],[COFINS]]</f>
        <v>4.1900000000000004</v>
      </c>
      <c r="AX18" s="46">
        <f>IFERROR((IF((ROUND((IFERROR((BaseRelatórioGeral[[#This Row],[Verificação de Base/Dedução]]-BaseRelatórioGeral[[#This Row],[Alíquota Tab.EFDReinf]]),BaseRelatórioGeral[[#This Row],[Alíquota Tab.EFDReinf]])),2))=0.01,0,IF((ROUND((IFERROR((BaseRelatórioGeral[[#This Row],[Verificação de Base/Dedução]]-BaseRelatórioGeral[[#This Row],[Alíquota Tab.EFDReinf]]),BaseRelatórioGeral[[#This Row],[Alíquota Tab.EFDReinf]])),2))=-0.01,0,(IFERROR((BaseRelatórioGeral[[#This Row],[Verificação de Base/Dedução]]-BaseRelatórioGeral[[#This Row],[Alíquota Tab.EFDReinf]]),BaseRelatórioGeral[[#This Row],[Alíquota Tab.EFDReinf]]))))),BaseRelatórioGeral[[#This Row],[Alíquota Tab.EFDReinf]])</f>
        <v>0</v>
      </c>
      <c r="AY18" s="46" t="str">
        <f>BaseRelatórioGeral[[#This Row],[UG Pagadora]]</f>
        <v>302122</v>
      </c>
      <c r="AZ18" s="46" t="b">
        <f>BaseRelatórioGeral[[#This Row],[Recolhedor Darf]]=BaseRelatórioGeral[[#This Row],[Credor]]</f>
        <v>1</v>
      </c>
      <c r="BA18" s="45" t="str">
        <f>IF(BaseRelatórioGeral[[#This Row],[Conferência de Alíquota]]="AmparadaporMedidaJudicial","OK","Correto")</f>
        <v>Correto</v>
      </c>
      <c r="BB18" s="45" t="str">
        <f>IF(BaseRelatórioGeral[[#This Row],[Conferência de Alíquota]]="AmparadaporMedidaJudicial","AmparadaporMedidaJudicial","Ok")</f>
        <v>Ok</v>
      </c>
    </row>
    <row r="19" spans="5:54" x14ac:dyDescent="0.3">
      <c r="E19" t="s">
        <v>107</v>
      </c>
      <c r="F19" t="s">
        <v>54</v>
      </c>
      <c r="G19" s="2" t="s">
        <v>55</v>
      </c>
      <c r="H19" s="2" t="s">
        <v>55</v>
      </c>
      <c r="I19" s="58">
        <v>46167</v>
      </c>
      <c r="J19" s="58">
        <v>46167</v>
      </c>
      <c r="K19" s="2" t="s">
        <v>56</v>
      </c>
      <c r="L19" s="48">
        <v>41481191000138</v>
      </c>
      <c r="M19" s="40">
        <v>45978</v>
      </c>
      <c r="N19" s="2" t="s">
        <v>108</v>
      </c>
      <c r="O19" s="3">
        <v>17023</v>
      </c>
      <c r="P19" t="s">
        <v>58</v>
      </c>
      <c r="Q19" s="2" t="s">
        <v>59</v>
      </c>
      <c r="R19" t="s">
        <v>60</v>
      </c>
      <c r="S19">
        <v>169.73</v>
      </c>
      <c r="T19" s="11">
        <v>11.97</v>
      </c>
      <c r="U19" s="41" t="s">
        <v>61</v>
      </c>
      <c r="V19" s="42" t="s">
        <v>109</v>
      </c>
      <c r="W19" s="47">
        <v>41756.61</v>
      </c>
      <c r="X19" t="s">
        <v>101</v>
      </c>
      <c r="Y19" s="2" t="s">
        <v>111</v>
      </c>
      <c r="Z19" s="58">
        <v>46167</v>
      </c>
      <c r="AA19" t="s">
        <v>103</v>
      </c>
      <c r="AB19" s="49">
        <v>41481191000138</v>
      </c>
      <c r="AC19" t="s">
        <v>117</v>
      </c>
      <c r="AD19" s="13" t="s">
        <v>101</v>
      </c>
      <c r="AE19" s="57" t="s">
        <v>168</v>
      </c>
      <c r="AF19" s="57" t="s">
        <v>168</v>
      </c>
      <c r="AG19" s="57" t="s">
        <v>168</v>
      </c>
      <c r="AH19"/>
      <c r="AI19">
        <v>11.97</v>
      </c>
      <c r="AJ19"/>
      <c r="AK19"/>
      <c r="AL19"/>
      <c r="AM19" t="b">
        <v>0</v>
      </c>
      <c r="AN19" t="s">
        <v>34</v>
      </c>
      <c r="AO19" s="3">
        <v>6175</v>
      </c>
      <c r="AP19" t="s">
        <v>113</v>
      </c>
      <c r="AQ19" t="b">
        <v>1</v>
      </c>
      <c r="AR19" s="43" t="s">
        <v>64</v>
      </c>
      <c r="AS19" t="b">
        <v>1</v>
      </c>
      <c r="AT19">
        <v>12</v>
      </c>
      <c r="AU19" s="44" t="str">
        <f t="array" ref="AU19">_xlfn.IFS(BaseRelatórioGeral[[#This Row],[ID Prédoc]]="Fornecedor não foi pago","Correto",BaseRelatórioGeral[[#This Row],[ID Prédoc]]="Troca Data Pré-Doc para Mês EFDReinf","Incorreto",BaseRelatórioGeral[[#This Row],[ID Prédoc]]="Alterar Data Prédoc - Fornecedor Não foi Pago","Incorreto",BaseRelatórioGeral[[#This Row],[ID Prédoc]]="Data PréDoc OK","Correto",BaseRelatórioGeral[[#This Row],[ID Prédoc]]="Pré-Doc Sem Informação","Pré-Doc Sem Informação")</f>
        <v>Correto</v>
      </c>
      <c r="AV19" s="46" t="str">
        <f>IFERROR((CONCATENATE((MONTH(BaseRelatórioGeral[[#This Row],[Mês Pgto Fornecedor]])),"-",(YEAR(BaseRelatórioGeral[[#This Row],[Data OB Pgto Fornecedor]])))),"")</f>
        <v>5-2026</v>
      </c>
      <c r="AW19" s="46">
        <f>BaseRelatórioGeral[[#This Row],[IR]]+BaseRelatórioGeral[[#This Row],[AGREGADO]]+BaseRelatórioGeral[[#This Row],[CSLL]]+BaseRelatórioGeral[[#This Row],[PIS/PASEP]]+BaseRelatórioGeral[[#This Row],[COFINS]]</f>
        <v>11.97</v>
      </c>
      <c r="AX19" s="46">
        <f>IFERROR((IF((ROUND((IFERROR((BaseRelatórioGeral[[#This Row],[Verificação de Base/Dedução]]-BaseRelatórioGeral[[#This Row],[Alíquota Tab.EFDReinf]]),BaseRelatórioGeral[[#This Row],[Alíquota Tab.EFDReinf]])),2))=0.01,0,IF((ROUND((IFERROR((BaseRelatórioGeral[[#This Row],[Verificação de Base/Dedução]]-BaseRelatórioGeral[[#This Row],[Alíquota Tab.EFDReinf]]),BaseRelatórioGeral[[#This Row],[Alíquota Tab.EFDReinf]])),2))=-0.01,0,(IFERROR((BaseRelatórioGeral[[#This Row],[Verificação de Base/Dedução]]-BaseRelatórioGeral[[#This Row],[Alíquota Tab.EFDReinf]]),BaseRelatórioGeral[[#This Row],[Alíquota Tab.EFDReinf]]))))),BaseRelatórioGeral[[#This Row],[Alíquota Tab.EFDReinf]])</f>
        <v>0</v>
      </c>
      <c r="AY19" s="46" t="str">
        <f>BaseRelatórioGeral[[#This Row],[UG Pagadora]]</f>
        <v>302122</v>
      </c>
      <c r="AZ19" s="46" t="b">
        <f>BaseRelatórioGeral[[#This Row],[Recolhedor Darf]]=BaseRelatórioGeral[[#This Row],[Credor]]</f>
        <v>1</v>
      </c>
      <c r="BA19" s="45" t="str">
        <f>IF(BaseRelatórioGeral[[#This Row],[Conferência de Alíquota]]="AmparadaporMedidaJudicial","OK","Correto")</f>
        <v>Correto</v>
      </c>
      <c r="BB19" s="45" t="str">
        <f>IF(BaseRelatórioGeral[[#This Row],[Conferência de Alíquota]]="AmparadaporMedidaJudicial","AmparadaporMedidaJudicial","Ok")</f>
        <v>Ok</v>
      </c>
    </row>
    <row r="20" spans="5:54" x14ac:dyDescent="0.3">
      <c r="E20" t="s">
        <v>107</v>
      </c>
      <c r="F20" t="s">
        <v>54</v>
      </c>
      <c r="G20" s="2" t="s">
        <v>55</v>
      </c>
      <c r="H20" s="2" t="s">
        <v>55</v>
      </c>
      <c r="I20" s="58">
        <v>46157</v>
      </c>
      <c r="J20" s="58">
        <v>46157</v>
      </c>
      <c r="K20" s="2" t="s">
        <v>56</v>
      </c>
      <c r="L20" s="51">
        <v>1590728000930</v>
      </c>
      <c r="M20" s="40">
        <v>45978</v>
      </c>
      <c r="N20" s="2" t="s">
        <v>118</v>
      </c>
      <c r="O20" s="3">
        <v>17024</v>
      </c>
      <c r="P20" t="s">
        <v>58</v>
      </c>
      <c r="Q20" s="2" t="s">
        <v>59</v>
      </c>
      <c r="R20" t="s">
        <v>60</v>
      </c>
      <c r="S20">
        <v>2519.75</v>
      </c>
      <c r="T20" s="11">
        <v>85.67</v>
      </c>
      <c r="U20" s="41" t="s">
        <v>61</v>
      </c>
      <c r="V20" s="42" t="s">
        <v>109</v>
      </c>
      <c r="W20" s="47">
        <v>41756.61</v>
      </c>
      <c r="X20" t="s">
        <v>119</v>
      </c>
      <c r="Y20" s="2" t="s">
        <v>111</v>
      </c>
      <c r="Z20" s="58">
        <v>46157</v>
      </c>
      <c r="AA20" t="s">
        <v>103</v>
      </c>
      <c r="AB20" s="52">
        <v>1590728000930</v>
      </c>
      <c r="AC20" t="s">
        <v>120</v>
      </c>
      <c r="AD20" s="13" t="s">
        <v>119</v>
      </c>
      <c r="AE20" s="57" t="s">
        <v>168</v>
      </c>
      <c r="AF20" s="57" t="s">
        <v>168</v>
      </c>
      <c r="AG20" s="57" t="s">
        <v>168</v>
      </c>
      <c r="AH20"/>
      <c r="AI20">
        <v>85.67</v>
      </c>
      <c r="AJ20"/>
      <c r="AK20"/>
      <c r="AL20"/>
      <c r="AM20" t="b">
        <v>0</v>
      </c>
      <c r="AN20" t="s">
        <v>34</v>
      </c>
      <c r="AO20" s="3">
        <v>8850</v>
      </c>
      <c r="AP20" t="s">
        <v>121</v>
      </c>
      <c r="AQ20" t="b">
        <v>1</v>
      </c>
      <c r="AR20" s="43" t="s">
        <v>64</v>
      </c>
      <c r="AS20" t="b">
        <v>1</v>
      </c>
      <c r="AT20">
        <v>13</v>
      </c>
      <c r="AU20" s="44" t="str">
        <f t="array" ref="AU20">_xlfn.IFS(BaseRelatórioGeral[[#This Row],[ID Prédoc]]="Fornecedor não foi pago","Correto",BaseRelatórioGeral[[#This Row],[ID Prédoc]]="Troca Data Pré-Doc para Mês EFDReinf","Incorreto",BaseRelatórioGeral[[#This Row],[ID Prédoc]]="Alterar Data Prédoc - Fornecedor Não foi Pago","Incorreto",BaseRelatórioGeral[[#This Row],[ID Prédoc]]="Data PréDoc OK","Correto",BaseRelatórioGeral[[#This Row],[ID Prédoc]]="Pré-Doc Sem Informação","Pré-Doc Sem Informação")</f>
        <v>Correto</v>
      </c>
      <c r="AV20" s="46" t="str">
        <f>IFERROR((CONCATENATE((MONTH(BaseRelatórioGeral[[#This Row],[Mês Pgto Fornecedor]])),"-",(YEAR(BaseRelatórioGeral[[#This Row],[Data OB Pgto Fornecedor]])))),"")</f>
        <v>5-2026</v>
      </c>
      <c r="AW20" s="46">
        <f>BaseRelatórioGeral[[#This Row],[IR]]+BaseRelatórioGeral[[#This Row],[AGREGADO]]+BaseRelatórioGeral[[#This Row],[CSLL]]+BaseRelatórioGeral[[#This Row],[PIS/PASEP]]+BaseRelatórioGeral[[#This Row],[COFINS]]</f>
        <v>85.67</v>
      </c>
      <c r="AX20" s="46">
        <f>IFERROR((IF((ROUND((IFERROR((BaseRelatórioGeral[[#This Row],[Verificação de Base/Dedução]]-BaseRelatórioGeral[[#This Row],[Alíquota Tab.EFDReinf]]),BaseRelatórioGeral[[#This Row],[Alíquota Tab.EFDReinf]])),2))=0.01,0,IF((ROUND((IFERROR((BaseRelatórioGeral[[#This Row],[Verificação de Base/Dedução]]-BaseRelatórioGeral[[#This Row],[Alíquota Tab.EFDReinf]]),BaseRelatórioGeral[[#This Row],[Alíquota Tab.EFDReinf]])),2))=-0.01,0,(IFERROR((BaseRelatórioGeral[[#This Row],[Verificação de Base/Dedução]]-BaseRelatórioGeral[[#This Row],[Alíquota Tab.EFDReinf]]),BaseRelatórioGeral[[#This Row],[Alíquota Tab.EFDReinf]]))))),BaseRelatórioGeral[[#This Row],[Alíquota Tab.EFDReinf]])</f>
        <v>0</v>
      </c>
      <c r="AY20" s="46" t="str">
        <f>BaseRelatórioGeral[[#This Row],[UG Pagadora]]</f>
        <v>302122</v>
      </c>
      <c r="AZ20" s="46" t="b">
        <f>BaseRelatórioGeral[[#This Row],[Recolhedor Darf]]=BaseRelatórioGeral[[#This Row],[Credor]]</f>
        <v>1</v>
      </c>
      <c r="BA20" s="45" t="str">
        <f>IF(BaseRelatórioGeral[[#This Row],[Conferência de Alíquota]]="AmparadaporMedidaJudicial","OK","Correto")</f>
        <v>Correto</v>
      </c>
      <c r="BB20" s="45" t="str">
        <f>IF(BaseRelatórioGeral[[#This Row],[Conferência de Alíquota]]="AmparadaporMedidaJudicial","AmparadaporMedidaJudicial","Ok")</f>
        <v>Ok</v>
      </c>
    </row>
    <row r="21" spans="5:54" x14ac:dyDescent="0.3">
      <c r="E21" t="s">
        <v>107</v>
      </c>
      <c r="F21" t="s">
        <v>54</v>
      </c>
      <c r="G21" s="2" t="s">
        <v>55</v>
      </c>
      <c r="H21" s="2" t="s">
        <v>55</v>
      </c>
      <c r="I21" s="58">
        <v>46158</v>
      </c>
      <c r="J21" s="58">
        <v>46158</v>
      </c>
      <c r="K21" s="2" t="s">
        <v>56</v>
      </c>
      <c r="L21" s="48">
        <v>1217727000198</v>
      </c>
      <c r="M21" s="40">
        <v>45978</v>
      </c>
      <c r="N21" s="2" t="s">
        <v>118</v>
      </c>
      <c r="O21" s="3">
        <v>17024</v>
      </c>
      <c r="P21" t="s">
        <v>58</v>
      </c>
      <c r="Q21" s="2" t="s">
        <v>59</v>
      </c>
      <c r="R21" t="s">
        <v>60</v>
      </c>
      <c r="S21">
        <v>8176.16</v>
      </c>
      <c r="T21" s="11">
        <v>277.99</v>
      </c>
      <c r="U21" s="41" t="s">
        <v>61</v>
      </c>
      <c r="V21" s="42" t="s">
        <v>109</v>
      </c>
      <c r="W21" s="47">
        <v>41756.61</v>
      </c>
      <c r="X21" t="s">
        <v>119</v>
      </c>
      <c r="Y21" s="2" t="s">
        <v>111</v>
      </c>
      <c r="Z21" s="58">
        <v>46158</v>
      </c>
      <c r="AA21" t="s">
        <v>103</v>
      </c>
      <c r="AB21" s="49">
        <v>1217727000198</v>
      </c>
      <c r="AC21" t="s">
        <v>122</v>
      </c>
      <c r="AD21" s="13" t="s">
        <v>119</v>
      </c>
      <c r="AE21" s="57" t="s">
        <v>168</v>
      </c>
      <c r="AF21" s="57" t="s">
        <v>168</v>
      </c>
      <c r="AG21" s="57" t="s">
        <v>168</v>
      </c>
      <c r="AH21"/>
      <c r="AI21">
        <v>277.99</v>
      </c>
      <c r="AJ21"/>
      <c r="AK21"/>
      <c r="AL21"/>
      <c r="AM21" t="b">
        <v>0</v>
      </c>
      <c r="AN21" t="s">
        <v>34</v>
      </c>
      <c r="AO21" s="3">
        <v>8850</v>
      </c>
      <c r="AP21" t="s">
        <v>121</v>
      </c>
      <c r="AQ21" t="b">
        <v>1</v>
      </c>
      <c r="AR21" s="43" t="s">
        <v>64</v>
      </c>
      <c r="AS21" t="b">
        <v>1</v>
      </c>
      <c r="AT21">
        <v>14</v>
      </c>
      <c r="AU21" s="44" t="str">
        <f t="array" ref="AU21">_xlfn.IFS(BaseRelatórioGeral[[#This Row],[ID Prédoc]]="Fornecedor não foi pago","Correto",BaseRelatórioGeral[[#This Row],[ID Prédoc]]="Troca Data Pré-Doc para Mês EFDReinf","Incorreto",BaseRelatórioGeral[[#This Row],[ID Prédoc]]="Alterar Data Prédoc - Fornecedor Não foi Pago","Incorreto",BaseRelatórioGeral[[#This Row],[ID Prédoc]]="Data PréDoc OK","Correto",BaseRelatórioGeral[[#This Row],[ID Prédoc]]="Pré-Doc Sem Informação","Pré-Doc Sem Informação")</f>
        <v>Correto</v>
      </c>
      <c r="AV21" s="46" t="str">
        <f>IFERROR((CONCATENATE((MONTH(BaseRelatórioGeral[[#This Row],[Mês Pgto Fornecedor]])),"-",(YEAR(BaseRelatórioGeral[[#This Row],[Data OB Pgto Fornecedor]])))),"")</f>
        <v>5-2026</v>
      </c>
      <c r="AW21" s="46">
        <f>BaseRelatórioGeral[[#This Row],[IR]]+BaseRelatórioGeral[[#This Row],[AGREGADO]]+BaseRelatórioGeral[[#This Row],[CSLL]]+BaseRelatórioGeral[[#This Row],[PIS/PASEP]]+BaseRelatórioGeral[[#This Row],[COFINS]]</f>
        <v>277.99</v>
      </c>
      <c r="AX21" s="46">
        <f>IFERROR((IF((ROUND((IFERROR((BaseRelatórioGeral[[#This Row],[Verificação de Base/Dedução]]-BaseRelatórioGeral[[#This Row],[Alíquota Tab.EFDReinf]]),BaseRelatórioGeral[[#This Row],[Alíquota Tab.EFDReinf]])),2))=0.01,0,IF((ROUND((IFERROR((BaseRelatórioGeral[[#This Row],[Verificação de Base/Dedução]]-BaseRelatórioGeral[[#This Row],[Alíquota Tab.EFDReinf]]),BaseRelatórioGeral[[#This Row],[Alíquota Tab.EFDReinf]])),2))=-0.01,0,(IFERROR((BaseRelatórioGeral[[#This Row],[Verificação de Base/Dedução]]-BaseRelatórioGeral[[#This Row],[Alíquota Tab.EFDReinf]]),BaseRelatórioGeral[[#This Row],[Alíquota Tab.EFDReinf]]))))),BaseRelatórioGeral[[#This Row],[Alíquota Tab.EFDReinf]])</f>
        <v>0</v>
      </c>
      <c r="AY21" s="46" t="str">
        <f>BaseRelatórioGeral[[#This Row],[UG Pagadora]]</f>
        <v>302122</v>
      </c>
      <c r="AZ21" s="46" t="b">
        <f>BaseRelatórioGeral[[#This Row],[Recolhedor Darf]]=BaseRelatórioGeral[[#This Row],[Credor]]</f>
        <v>1</v>
      </c>
      <c r="BA21" s="45" t="str">
        <f>IF(BaseRelatórioGeral[[#This Row],[Conferência de Alíquota]]="AmparadaporMedidaJudicial","OK","Correto")</f>
        <v>Correto</v>
      </c>
      <c r="BB21" s="45" t="str">
        <f>IF(BaseRelatórioGeral[[#This Row],[Conferência de Alíquota]]="AmparadaporMedidaJudicial","AmparadaporMedidaJudicial","Ok")</f>
        <v>Ok</v>
      </c>
    </row>
    <row r="22" spans="5:54" x14ac:dyDescent="0.3">
      <c r="E22" t="s">
        <v>123</v>
      </c>
      <c r="F22" t="s">
        <v>54</v>
      </c>
      <c r="G22" s="2" t="s">
        <v>55</v>
      </c>
      <c r="H22" s="2" t="s">
        <v>55</v>
      </c>
      <c r="I22" s="58">
        <v>46159</v>
      </c>
      <c r="J22" s="58">
        <v>46159</v>
      </c>
      <c r="K22" s="2" t="s">
        <v>56</v>
      </c>
      <c r="L22" s="48">
        <v>65149197000251</v>
      </c>
      <c r="M22" s="40">
        <v>45978</v>
      </c>
      <c r="N22" s="2" t="s">
        <v>124</v>
      </c>
      <c r="O22" s="3">
        <v>17023</v>
      </c>
      <c r="P22" t="s">
        <v>58</v>
      </c>
      <c r="Q22" s="2" t="s">
        <v>59</v>
      </c>
      <c r="R22" t="s">
        <v>60</v>
      </c>
      <c r="S22">
        <v>3103.4</v>
      </c>
      <c r="T22" s="11">
        <v>31.03</v>
      </c>
      <c r="U22" s="41" t="s">
        <v>61</v>
      </c>
      <c r="V22" s="42" t="s">
        <v>125</v>
      </c>
      <c r="W22" s="47">
        <v>16610.259999999998</v>
      </c>
      <c r="X22" t="s">
        <v>58</v>
      </c>
      <c r="Y22" s="2" t="s">
        <v>126</v>
      </c>
      <c r="Z22" s="58">
        <v>46159</v>
      </c>
      <c r="AA22" t="s">
        <v>103</v>
      </c>
      <c r="AB22" s="49">
        <v>65149197000251</v>
      </c>
      <c r="AC22" t="s">
        <v>127</v>
      </c>
      <c r="AD22" s="13" t="s">
        <v>128</v>
      </c>
      <c r="AE22" s="57" t="s">
        <v>168</v>
      </c>
      <c r="AF22" s="57" t="s">
        <v>168</v>
      </c>
      <c r="AG22" s="57" t="s">
        <v>168</v>
      </c>
      <c r="AH22"/>
      <c r="AI22"/>
      <c r="AJ22">
        <v>31.03</v>
      </c>
      <c r="AK22"/>
      <c r="AL22"/>
      <c r="AM22" t="b">
        <v>0</v>
      </c>
      <c r="AN22" t="s">
        <v>35</v>
      </c>
      <c r="AO22" s="3">
        <v>6228</v>
      </c>
      <c r="AP22" t="s">
        <v>113</v>
      </c>
      <c r="AQ22" t="b">
        <v>1</v>
      </c>
      <c r="AR22" s="43" t="s">
        <v>64</v>
      </c>
      <c r="AS22" t="b">
        <v>0</v>
      </c>
      <c r="AT22">
        <v>1</v>
      </c>
      <c r="AU22" s="44" t="str">
        <f t="array" ref="AU22">_xlfn.IFS(BaseRelatórioGeral[[#This Row],[ID Prédoc]]="Fornecedor não foi pago","Correto",BaseRelatórioGeral[[#This Row],[ID Prédoc]]="Troca Data Pré-Doc para Mês EFDReinf","Incorreto",BaseRelatórioGeral[[#This Row],[ID Prédoc]]="Alterar Data Prédoc - Fornecedor Não foi Pago","Incorreto",BaseRelatórioGeral[[#This Row],[ID Prédoc]]="Data PréDoc OK","Correto",BaseRelatórioGeral[[#This Row],[ID Prédoc]]="Pré-Doc Sem Informação","Pré-Doc Sem Informação")</f>
        <v>Correto</v>
      </c>
      <c r="AV22" s="46" t="str">
        <f>IFERROR((CONCATENATE((MONTH(BaseRelatórioGeral[[#This Row],[Mês Pgto Fornecedor]])),"-",(YEAR(BaseRelatórioGeral[[#This Row],[Data OB Pgto Fornecedor]])))),"")</f>
        <v>5-2026</v>
      </c>
      <c r="AW22" s="46">
        <f>BaseRelatórioGeral[[#This Row],[IR]]+BaseRelatórioGeral[[#This Row],[AGREGADO]]+BaseRelatórioGeral[[#This Row],[CSLL]]+BaseRelatórioGeral[[#This Row],[PIS/PASEP]]+BaseRelatórioGeral[[#This Row],[COFINS]]</f>
        <v>31.03</v>
      </c>
      <c r="AX22" s="46" t="str">
        <f>IFERROR((IF((ROUND((IFERROR((BaseRelatórioGeral[[#This Row],[Verificação de Base/Dedução]]-BaseRelatórioGeral[[#This Row],[Alíquota Tab.EFDReinf]]),BaseRelatórioGeral[[#This Row],[Alíquota Tab.EFDReinf]])),2))=0.01,0,IF((ROUND((IFERROR((BaseRelatórioGeral[[#This Row],[Verificação de Base/Dedução]]-BaseRelatórioGeral[[#This Row],[Alíquota Tab.EFDReinf]]),BaseRelatórioGeral[[#This Row],[Alíquota Tab.EFDReinf]])),2))=-0.01,0,(IFERROR((BaseRelatórioGeral[[#This Row],[Verificação de Base/Dedução]]-BaseRelatórioGeral[[#This Row],[Alíquota Tab.EFDReinf]]),BaseRelatórioGeral[[#This Row],[Alíquota Tab.EFDReinf]]))))),BaseRelatórioGeral[[#This Row],[Alíquota Tab.EFDReinf]])</f>
        <v>AmparadaporMedidaJudicial</v>
      </c>
      <c r="AY22" s="46" t="str">
        <f>BaseRelatórioGeral[[#This Row],[UG Pagadora]]</f>
        <v>302122</v>
      </c>
      <c r="AZ22" s="46" t="b">
        <f>BaseRelatórioGeral[[#This Row],[Recolhedor Darf]]=BaseRelatórioGeral[[#This Row],[Credor]]</f>
        <v>1</v>
      </c>
      <c r="BA22" s="45" t="str">
        <f>IF(BaseRelatórioGeral[[#This Row],[Conferência de Alíquota]]="AmparadaporMedidaJudicial","OK","Correto")</f>
        <v>OK</v>
      </c>
      <c r="BB22" s="45" t="str">
        <f>IF(BaseRelatórioGeral[[#This Row],[Conferência de Alíquota]]="AmparadaporMedidaJudicial","AmparadaporMedidaJudicial","Ok")</f>
        <v>AmparadaporMedidaJudicial</v>
      </c>
    </row>
    <row r="23" spans="5:54" x14ac:dyDescent="0.3">
      <c r="E23" t="s">
        <v>123</v>
      </c>
      <c r="F23" t="s">
        <v>54</v>
      </c>
      <c r="G23" s="2" t="s">
        <v>55</v>
      </c>
      <c r="H23" s="2" t="s">
        <v>55</v>
      </c>
      <c r="I23" s="58">
        <v>46160</v>
      </c>
      <c r="J23" s="58">
        <v>46160</v>
      </c>
      <c r="K23" s="2" t="s">
        <v>56</v>
      </c>
      <c r="L23" s="48">
        <v>19152814000170</v>
      </c>
      <c r="M23" s="40">
        <v>45978</v>
      </c>
      <c r="N23" s="2" t="s">
        <v>124</v>
      </c>
      <c r="O23" s="3">
        <v>17023</v>
      </c>
      <c r="P23" t="s">
        <v>58</v>
      </c>
      <c r="Q23" s="2" t="s">
        <v>59</v>
      </c>
      <c r="R23" t="s">
        <v>60</v>
      </c>
      <c r="S23">
        <v>9068.6</v>
      </c>
      <c r="T23" s="11">
        <v>90.69</v>
      </c>
      <c r="U23" s="41" t="s">
        <v>61</v>
      </c>
      <c r="V23" s="42" t="s">
        <v>125</v>
      </c>
      <c r="W23" s="47">
        <v>16610.259999999998</v>
      </c>
      <c r="X23" t="s">
        <v>58</v>
      </c>
      <c r="Y23" s="2" t="s">
        <v>126</v>
      </c>
      <c r="Z23" s="58">
        <v>46160</v>
      </c>
      <c r="AA23" t="s">
        <v>103</v>
      </c>
      <c r="AB23" s="49">
        <v>19152814000170</v>
      </c>
      <c r="AC23" t="s">
        <v>129</v>
      </c>
      <c r="AD23" s="13" t="s">
        <v>128</v>
      </c>
      <c r="AE23" s="57" t="s">
        <v>168</v>
      </c>
      <c r="AF23" s="57" t="s">
        <v>168</v>
      </c>
      <c r="AG23" s="57" t="s">
        <v>168</v>
      </c>
      <c r="AH23"/>
      <c r="AI23"/>
      <c r="AJ23">
        <v>90.69</v>
      </c>
      <c r="AK23"/>
      <c r="AL23"/>
      <c r="AM23" t="b">
        <v>0</v>
      </c>
      <c r="AN23" t="s">
        <v>35</v>
      </c>
      <c r="AO23" s="3">
        <v>6228</v>
      </c>
      <c r="AP23" t="s">
        <v>113</v>
      </c>
      <c r="AQ23" t="b">
        <v>1</v>
      </c>
      <c r="AR23" s="43" t="s">
        <v>64</v>
      </c>
      <c r="AS23" t="b">
        <v>0</v>
      </c>
      <c r="AT23">
        <v>2</v>
      </c>
      <c r="AU23" s="44" t="str">
        <f t="array" ref="AU23">_xlfn.IFS(BaseRelatórioGeral[[#This Row],[ID Prédoc]]="Fornecedor não foi pago","Correto",BaseRelatórioGeral[[#This Row],[ID Prédoc]]="Troca Data Pré-Doc para Mês EFDReinf","Incorreto",BaseRelatórioGeral[[#This Row],[ID Prédoc]]="Alterar Data Prédoc - Fornecedor Não foi Pago","Incorreto",BaseRelatórioGeral[[#This Row],[ID Prédoc]]="Data PréDoc OK","Correto",BaseRelatórioGeral[[#This Row],[ID Prédoc]]="Pré-Doc Sem Informação","Pré-Doc Sem Informação")</f>
        <v>Correto</v>
      </c>
      <c r="AV23" s="46" t="str">
        <f>IFERROR((CONCATENATE((MONTH(BaseRelatórioGeral[[#This Row],[Mês Pgto Fornecedor]])),"-",(YEAR(BaseRelatórioGeral[[#This Row],[Data OB Pgto Fornecedor]])))),"")</f>
        <v>5-2026</v>
      </c>
      <c r="AW23" s="46">
        <f>BaseRelatórioGeral[[#This Row],[IR]]+BaseRelatórioGeral[[#This Row],[AGREGADO]]+BaseRelatórioGeral[[#This Row],[CSLL]]+BaseRelatórioGeral[[#This Row],[PIS/PASEP]]+BaseRelatórioGeral[[#This Row],[COFINS]]</f>
        <v>90.69</v>
      </c>
      <c r="AX23" s="46" t="str">
        <f>IFERROR((IF((ROUND((IFERROR((BaseRelatórioGeral[[#This Row],[Verificação de Base/Dedução]]-BaseRelatórioGeral[[#This Row],[Alíquota Tab.EFDReinf]]),BaseRelatórioGeral[[#This Row],[Alíquota Tab.EFDReinf]])),2))=0.01,0,IF((ROUND((IFERROR((BaseRelatórioGeral[[#This Row],[Verificação de Base/Dedução]]-BaseRelatórioGeral[[#This Row],[Alíquota Tab.EFDReinf]]),BaseRelatórioGeral[[#This Row],[Alíquota Tab.EFDReinf]])),2))=-0.01,0,(IFERROR((BaseRelatórioGeral[[#This Row],[Verificação de Base/Dedução]]-BaseRelatórioGeral[[#This Row],[Alíquota Tab.EFDReinf]]),BaseRelatórioGeral[[#This Row],[Alíquota Tab.EFDReinf]]))))),BaseRelatórioGeral[[#This Row],[Alíquota Tab.EFDReinf]])</f>
        <v>AmparadaporMedidaJudicial</v>
      </c>
      <c r="AY23" s="46" t="str">
        <f>BaseRelatórioGeral[[#This Row],[UG Pagadora]]</f>
        <v>302122</v>
      </c>
      <c r="AZ23" s="46" t="b">
        <f>BaseRelatórioGeral[[#This Row],[Recolhedor Darf]]=BaseRelatórioGeral[[#This Row],[Credor]]</f>
        <v>1</v>
      </c>
      <c r="BA23" s="45" t="str">
        <f>IF(BaseRelatórioGeral[[#This Row],[Conferência de Alíquota]]="AmparadaporMedidaJudicial","OK","Correto")</f>
        <v>OK</v>
      </c>
      <c r="BB23" s="45" t="str">
        <f>IF(BaseRelatórioGeral[[#This Row],[Conferência de Alíquota]]="AmparadaporMedidaJudicial","AmparadaporMedidaJudicial","Ok")</f>
        <v>AmparadaporMedidaJudicial</v>
      </c>
    </row>
    <row r="24" spans="5:54" x14ac:dyDescent="0.3">
      <c r="E24" t="s">
        <v>130</v>
      </c>
      <c r="F24" t="s">
        <v>54</v>
      </c>
      <c r="G24" s="2" t="s">
        <v>55</v>
      </c>
      <c r="H24" s="2" t="s">
        <v>55</v>
      </c>
      <c r="I24" s="58">
        <v>46161</v>
      </c>
      <c r="J24" s="58">
        <v>46161</v>
      </c>
      <c r="K24" s="2" t="s">
        <v>56</v>
      </c>
      <c r="L24" s="48">
        <v>4892991000115</v>
      </c>
      <c r="M24" s="40">
        <v>45978</v>
      </c>
      <c r="N24" s="2" t="s">
        <v>131</v>
      </c>
      <c r="O24" s="3">
        <v>17023</v>
      </c>
      <c r="P24" t="s">
        <v>58</v>
      </c>
      <c r="Q24" s="2" t="s">
        <v>59</v>
      </c>
      <c r="R24" t="s">
        <v>60</v>
      </c>
      <c r="S24">
        <v>3103.4</v>
      </c>
      <c r="T24" s="11">
        <v>74.48</v>
      </c>
      <c r="U24" s="41" t="s">
        <v>61</v>
      </c>
      <c r="V24" s="42" t="s">
        <v>125</v>
      </c>
      <c r="W24" s="47">
        <v>16610.259999999998</v>
      </c>
      <c r="X24" t="s">
        <v>132</v>
      </c>
      <c r="Y24" s="2" t="s">
        <v>126</v>
      </c>
      <c r="Z24" s="58">
        <v>46161</v>
      </c>
      <c r="AA24" t="s">
        <v>103</v>
      </c>
      <c r="AB24" s="49">
        <v>4892991000115</v>
      </c>
      <c r="AC24" t="s">
        <v>133</v>
      </c>
      <c r="AD24" s="13" t="s">
        <v>128</v>
      </c>
      <c r="AE24" s="57" t="s">
        <v>168</v>
      </c>
      <c r="AF24" s="57" t="s">
        <v>168</v>
      </c>
      <c r="AG24" s="57" t="s">
        <v>168</v>
      </c>
      <c r="AH24">
        <v>74.48</v>
      </c>
      <c r="AI24"/>
      <c r="AJ24"/>
      <c r="AK24"/>
      <c r="AL24"/>
      <c r="AM24" t="b">
        <v>0</v>
      </c>
      <c r="AN24" t="s">
        <v>134</v>
      </c>
      <c r="AO24" s="3">
        <v>6256</v>
      </c>
      <c r="AP24" t="s">
        <v>113</v>
      </c>
      <c r="AQ24" t="b">
        <v>1</v>
      </c>
      <c r="AR24" s="43" t="s">
        <v>64</v>
      </c>
      <c r="AS24" t="b">
        <v>0</v>
      </c>
      <c r="AT24">
        <v>4</v>
      </c>
      <c r="AU24" s="44" t="str">
        <f t="array" ref="AU24">_xlfn.IFS(BaseRelatórioGeral[[#This Row],[ID Prédoc]]="Fornecedor não foi pago","Correto",BaseRelatórioGeral[[#This Row],[ID Prédoc]]="Troca Data Pré-Doc para Mês EFDReinf","Incorreto",BaseRelatórioGeral[[#This Row],[ID Prédoc]]="Alterar Data Prédoc - Fornecedor Não foi Pago","Incorreto",BaseRelatórioGeral[[#This Row],[ID Prédoc]]="Data PréDoc OK","Correto",BaseRelatórioGeral[[#This Row],[ID Prédoc]]="Pré-Doc Sem Informação","Pré-Doc Sem Informação")</f>
        <v>Correto</v>
      </c>
      <c r="AV24" s="46" t="str">
        <f>IFERROR((CONCATENATE((MONTH(BaseRelatórioGeral[[#This Row],[Mês Pgto Fornecedor]])),"-",(YEAR(BaseRelatórioGeral[[#This Row],[Data OB Pgto Fornecedor]])))),"")</f>
        <v>5-2026</v>
      </c>
      <c r="AW24" s="46">
        <f>BaseRelatórioGeral[[#This Row],[IR]]+BaseRelatórioGeral[[#This Row],[AGREGADO]]+BaseRelatórioGeral[[#This Row],[CSLL]]+BaseRelatórioGeral[[#This Row],[PIS/PASEP]]+BaseRelatórioGeral[[#This Row],[COFINS]]</f>
        <v>74.48</v>
      </c>
      <c r="AX24" s="46" t="str">
        <f>IFERROR((IF((ROUND((IFERROR((BaseRelatórioGeral[[#This Row],[Verificação de Base/Dedução]]-BaseRelatórioGeral[[#This Row],[Alíquota Tab.EFDReinf]]),BaseRelatórioGeral[[#This Row],[Alíquota Tab.EFDReinf]])),2))=0.01,0,IF((ROUND((IFERROR((BaseRelatórioGeral[[#This Row],[Verificação de Base/Dedução]]-BaseRelatórioGeral[[#This Row],[Alíquota Tab.EFDReinf]]),BaseRelatórioGeral[[#This Row],[Alíquota Tab.EFDReinf]])),2))=-0.01,0,(IFERROR((BaseRelatórioGeral[[#This Row],[Verificação de Base/Dedução]]-BaseRelatórioGeral[[#This Row],[Alíquota Tab.EFDReinf]]),BaseRelatórioGeral[[#This Row],[Alíquota Tab.EFDReinf]]))))),BaseRelatórioGeral[[#This Row],[Alíquota Tab.EFDReinf]])</f>
        <v>AmparadaporMedidaJudicial</v>
      </c>
      <c r="AY24" s="46" t="str">
        <f>BaseRelatórioGeral[[#This Row],[UG Pagadora]]</f>
        <v>302122</v>
      </c>
      <c r="AZ24" s="46" t="b">
        <f>BaseRelatórioGeral[[#This Row],[Recolhedor Darf]]=BaseRelatórioGeral[[#This Row],[Credor]]</f>
        <v>1</v>
      </c>
      <c r="BA24" s="45" t="str">
        <f>IF(BaseRelatórioGeral[[#This Row],[Conferência de Alíquota]]="AmparadaporMedidaJudicial","OK","Correto")</f>
        <v>OK</v>
      </c>
      <c r="BB24" s="45" t="str">
        <f>IF(BaseRelatórioGeral[[#This Row],[Conferência de Alíquota]]="AmparadaporMedidaJudicial","AmparadaporMedidaJudicial","Ok")</f>
        <v>AmparadaporMedidaJudicial</v>
      </c>
    </row>
    <row r="25" spans="5:54" x14ac:dyDescent="0.3">
      <c r="E25" t="s">
        <v>130</v>
      </c>
      <c r="F25" t="s">
        <v>54</v>
      </c>
      <c r="G25" s="2" t="s">
        <v>55</v>
      </c>
      <c r="H25" s="2" t="s">
        <v>55</v>
      </c>
      <c r="I25" s="58">
        <v>46162</v>
      </c>
      <c r="J25" s="58">
        <v>46162</v>
      </c>
      <c r="K25" s="2" t="s">
        <v>56</v>
      </c>
      <c r="L25" s="51">
        <v>5795607000200</v>
      </c>
      <c r="M25" s="40">
        <v>45978</v>
      </c>
      <c r="N25" s="2" t="s">
        <v>131</v>
      </c>
      <c r="O25" s="3">
        <v>17023</v>
      </c>
      <c r="P25" t="s">
        <v>58</v>
      </c>
      <c r="Q25" s="2" t="s">
        <v>59</v>
      </c>
      <c r="R25" t="s">
        <v>60</v>
      </c>
      <c r="S25">
        <v>9068.6</v>
      </c>
      <c r="T25" s="11">
        <v>217.65</v>
      </c>
      <c r="U25" s="41" t="s">
        <v>61</v>
      </c>
      <c r="V25" s="42" t="s">
        <v>125</v>
      </c>
      <c r="W25" s="47">
        <v>16610.259999999998</v>
      </c>
      <c r="X25" t="s">
        <v>132</v>
      </c>
      <c r="Y25" s="2" t="s">
        <v>126</v>
      </c>
      <c r="Z25" s="58">
        <v>46162</v>
      </c>
      <c r="AA25" t="s">
        <v>103</v>
      </c>
      <c r="AB25" s="52">
        <v>5795607000200</v>
      </c>
      <c r="AC25" s="50" t="s">
        <v>135</v>
      </c>
      <c r="AD25" s="13" t="s">
        <v>128</v>
      </c>
      <c r="AE25" s="57" t="s">
        <v>168</v>
      </c>
      <c r="AF25" s="57" t="s">
        <v>168</v>
      </c>
      <c r="AG25" s="57" t="s">
        <v>168</v>
      </c>
      <c r="AH25">
        <v>217.65</v>
      </c>
      <c r="AI25"/>
      <c r="AJ25"/>
      <c r="AK25"/>
      <c r="AL25"/>
      <c r="AM25" t="b">
        <v>0</v>
      </c>
      <c r="AN25" t="s">
        <v>134</v>
      </c>
      <c r="AO25" s="3">
        <v>6256</v>
      </c>
      <c r="AP25" t="s">
        <v>113</v>
      </c>
      <c r="AQ25" t="b">
        <v>1</v>
      </c>
      <c r="AR25" s="43" t="s">
        <v>64</v>
      </c>
      <c r="AS25" t="b">
        <v>0</v>
      </c>
      <c r="AT25">
        <v>5</v>
      </c>
      <c r="AU25" s="44" t="str">
        <f t="array" ref="AU25">_xlfn.IFS(BaseRelatórioGeral[[#This Row],[ID Prédoc]]="Fornecedor não foi pago","Correto",BaseRelatórioGeral[[#This Row],[ID Prédoc]]="Troca Data Pré-Doc para Mês EFDReinf","Incorreto",BaseRelatórioGeral[[#This Row],[ID Prédoc]]="Alterar Data Prédoc - Fornecedor Não foi Pago","Incorreto",BaseRelatórioGeral[[#This Row],[ID Prédoc]]="Data PréDoc OK","Correto",BaseRelatórioGeral[[#This Row],[ID Prédoc]]="Pré-Doc Sem Informação","Pré-Doc Sem Informação")</f>
        <v>Correto</v>
      </c>
      <c r="AV25" s="46" t="str">
        <f>IFERROR((CONCATENATE((MONTH(BaseRelatórioGeral[[#This Row],[Mês Pgto Fornecedor]])),"-",(YEAR(BaseRelatórioGeral[[#This Row],[Data OB Pgto Fornecedor]])))),"")</f>
        <v>5-2026</v>
      </c>
      <c r="AW25" s="46">
        <f>BaseRelatórioGeral[[#This Row],[IR]]+BaseRelatórioGeral[[#This Row],[AGREGADO]]+BaseRelatórioGeral[[#This Row],[CSLL]]+BaseRelatórioGeral[[#This Row],[PIS/PASEP]]+BaseRelatórioGeral[[#This Row],[COFINS]]</f>
        <v>217.65</v>
      </c>
      <c r="AX25" s="46" t="str">
        <f>IFERROR((IF((ROUND((IFERROR((BaseRelatórioGeral[[#This Row],[Verificação de Base/Dedução]]-BaseRelatórioGeral[[#This Row],[Alíquota Tab.EFDReinf]]),BaseRelatórioGeral[[#This Row],[Alíquota Tab.EFDReinf]])),2))=0.01,0,IF((ROUND((IFERROR((BaseRelatórioGeral[[#This Row],[Verificação de Base/Dedução]]-BaseRelatórioGeral[[#This Row],[Alíquota Tab.EFDReinf]]),BaseRelatórioGeral[[#This Row],[Alíquota Tab.EFDReinf]])),2))=-0.01,0,(IFERROR((BaseRelatórioGeral[[#This Row],[Verificação de Base/Dedução]]-BaseRelatórioGeral[[#This Row],[Alíquota Tab.EFDReinf]]),BaseRelatórioGeral[[#This Row],[Alíquota Tab.EFDReinf]]))))),BaseRelatórioGeral[[#This Row],[Alíquota Tab.EFDReinf]])</f>
        <v>AmparadaporMedidaJudicial</v>
      </c>
      <c r="AY25" s="46" t="str">
        <f>BaseRelatórioGeral[[#This Row],[UG Pagadora]]</f>
        <v>302122</v>
      </c>
      <c r="AZ25" s="46" t="b">
        <f>BaseRelatórioGeral[[#This Row],[Recolhedor Darf]]=BaseRelatórioGeral[[#This Row],[Credor]]</f>
        <v>1</v>
      </c>
      <c r="BA25" s="45" t="str">
        <f>IF(BaseRelatórioGeral[[#This Row],[Conferência de Alíquota]]="AmparadaporMedidaJudicial","OK","Correto")</f>
        <v>OK</v>
      </c>
      <c r="BB25" s="45" t="str">
        <f>IF(BaseRelatórioGeral[[#This Row],[Conferência de Alíquota]]="AmparadaporMedidaJudicial","AmparadaporMedidaJudicial","Ok")</f>
        <v>AmparadaporMedidaJudicial</v>
      </c>
    </row>
    <row r="26" spans="5:54" x14ac:dyDescent="0.3">
      <c r="E26" t="s">
        <v>130</v>
      </c>
      <c r="F26" t="s">
        <v>54</v>
      </c>
      <c r="G26" s="2" t="s">
        <v>55</v>
      </c>
      <c r="H26" s="2" t="s">
        <v>55</v>
      </c>
      <c r="I26" s="58">
        <v>46163</v>
      </c>
      <c r="J26" s="58">
        <v>46163</v>
      </c>
      <c r="K26" s="2" t="s">
        <v>56</v>
      </c>
      <c r="L26" s="51">
        <v>81243735000903</v>
      </c>
      <c r="M26" s="40">
        <v>45978</v>
      </c>
      <c r="N26" s="2" t="s">
        <v>131</v>
      </c>
      <c r="O26" s="3">
        <v>17023</v>
      </c>
      <c r="P26" t="s">
        <v>58</v>
      </c>
      <c r="Q26" s="2" t="s">
        <v>59</v>
      </c>
      <c r="R26" t="s">
        <v>60</v>
      </c>
      <c r="S26">
        <v>3906.1</v>
      </c>
      <c r="T26" s="11">
        <v>93.75</v>
      </c>
      <c r="U26" s="41" t="s">
        <v>61</v>
      </c>
      <c r="V26" s="42" t="s">
        <v>125</v>
      </c>
      <c r="W26" s="47">
        <v>16610.259999999998</v>
      </c>
      <c r="X26" t="s">
        <v>132</v>
      </c>
      <c r="Y26" s="2" t="s">
        <v>126</v>
      </c>
      <c r="Z26" s="58">
        <v>46163</v>
      </c>
      <c r="AA26" t="s">
        <v>103</v>
      </c>
      <c r="AB26" s="52">
        <v>81243735000903</v>
      </c>
      <c r="AC26" t="s">
        <v>136</v>
      </c>
      <c r="AD26" s="13" t="s">
        <v>128</v>
      </c>
      <c r="AE26" s="57" t="s">
        <v>168</v>
      </c>
      <c r="AF26" s="57" t="s">
        <v>168</v>
      </c>
      <c r="AG26" s="57" t="s">
        <v>168</v>
      </c>
      <c r="AH26">
        <v>93.75</v>
      </c>
      <c r="AI26"/>
      <c r="AJ26"/>
      <c r="AK26"/>
      <c r="AL26"/>
      <c r="AM26" t="b">
        <v>0</v>
      </c>
      <c r="AN26" t="s">
        <v>134</v>
      </c>
      <c r="AO26" s="3">
        <v>6256</v>
      </c>
      <c r="AP26" t="s">
        <v>113</v>
      </c>
      <c r="AQ26" t="b">
        <v>1</v>
      </c>
      <c r="AR26" s="43" t="s">
        <v>64</v>
      </c>
      <c r="AS26" t="b">
        <v>0</v>
      </c>
      <c r="AT26">
        <v>6</v>
      </c>
      <c r="AU26" s="44" t="str">
        <f t="array" ref="AU26">_xlfn.IFS(BaseRelatórioGeral[[#This Row],[ID Prédoc]]="Fornecedor não foi pago","Correto",BaseRelatórioGeral[[#This Row],[ID Prédoc]]="Troca Data Pré-Doc para Mês EFDReinf","Incorreto",BaseRelatórioGeral[[#This Row],[ID Prédoc]]="Alterar Data Prédoc - Fornecedor Não foi Pago","Incorreto",BaseRelatórioGeral[[#This Row],[ID Prédoc]]="Data PréDoc OK","Correto",BaseRelatórioGeral[[#This Row],[ID Prédoc]]="Pré-Doc Sem Informação","Pré-Doc Sem Informação")</f>
        <v>Correto</v>
      </c>
      <c r="AV26" s="46" t="str">
        <f>IFERROR((CONCATENATE((MONTH(BaseRelatórioGeral[[#This Row],[Mês Pgto Fornecedor]])),"-",(YEAR(BaseRelatórioGeral[[#This Row],[Data OB Pgto Fornecedor]])))),"")</f>
        <v>5-2026</v>
      </c>
      <c r="AW26" s="46">
        <f>BaseRelatórioGeral[[#This Row],[IR]]+BaseRelatórioGeral[[#This Row],[AGREGADO]]+BaseRelatórioGeral[[#This Row],[CSLL]]+BaseRelatórioGeral[[#This Row],[PIS/PASEP]]+BaseRelatórioGeral[[#This Row],[COFINS]]</f>
        <v>93.75</v>
      </c>
      <c r="AX26" s="46" t="str">
        <f>IFERROR((IF((ROUND((IFERROR((BaseRelatórioGeral[[#This Row],[Verificação de Base/Dedução]]-BaseRelatórioGeral[[#This Row],[Alíquota Tab.EFDReinf]]),BaseRelatórioGeral[[#This Row],[Alíquota Tab.EFDReinf]])),2))=0.01,0,IF((ROUND((IFERROR((BaseRelatórioGeral[[#This Row],[Verificação de Base/Dedução]]-BaseRelatórioGeral[[#This Row],[Alíquota Tab.EFDReinf]]),BaseRelatórioGeral[[#This Row],[Alíquota Tab.EFDReinf]])),2))=-0.01,0,(IFERROR((BaseRelatórioGeral[[#This Row],[Verificação de Base/Dedução]]-BaseRelatórioGeral[[#This Row],[Alíquota Tab.EFDReinf]]),BaseRelatórioGeral[[#This Row],[Alíquota Tab.EFDReinf]]))))),BaseRelatórioGeral[[#This Row],[Alíquota Tab.EFDReinf]])</f>
        <v>AmparadaporMedidaJudicial</v>
      </c>
      <c r="AY26" s="46" t="str">
        <f>BaseRelatórioGeral[[#This Row],[UG Pagadora]]</f>
        <v>302122</v>
      </c>
      <c r="AZ26" s="46" t="b">
        <f>BaseRelatórioGeral[[#This Row],[Recolhedor Darf]]=BaseRelatórioGeral[[#This Row],[Credor]]</f>
        <v>1</v>
      </c>
      <c r="BA26" s="45" t="str">
        <f>IF(BaseRelatórioGeral[[#This Row],[Conferência de Alíquota]]="AmparadaporMedidaJudicial","OK","Correto")</f>
        <v>OK</v>
      </c>
      <c r="BB26" s="45" t="str">
        <f>IF(BaseRelatórioGeral[[#This Row],[Conferência de Alíquota]]="AmparadaporMedidaJudicial","AmparadaporMedidaJudicial","Ok")</f>
        <v>AmparadaporMedidaJudicial</v>
      </c>
    </row>
    <row r="27" spans="5:54" x14ac:dyDescent="0.3">
      <c r="E27" t="s">
        <v>137</v>
      </c>
      <c r="F27" t="s">
        <v>54</v>
      </c>
      <c r="G27" s="2" t="s">
        <v>55</v>
      </c>
      <c r="H27" s="2" t="s">
        <v>55</v>
      </c>
      <c r="I27" s="58">
        <v>46164</v>
      </c>
      <c r="J27" s="58">
        <v>46164</v>
      </c>
      <c r="K27" s="2" t="s">
        <v>56</v>
      </c>
      <c r="L27" s="48">
        <v>59717553000617</v>
      </c>
      <c r="M27" s="40">
        <v>45978</v>
      </c>
      <c r="N27" s="2" t="s">
        <v>108</v>
      </c>
      <c r="O27" s="3">
        <v>17023</v>
      </c>
      <c r="P27" t="s">
        <v>58</v>
      </c>
      <c r="Q27" s="2" t="s">
        <v>59</v>
      </c>
      <c r="R27"/>
      <c r="S27">
        <v>181.86</v>
      </c>
      <c r="T27" s="11">
        <v>12.82</v>
      </c>
      <c r="U27" s="41"/>
      <c r="V27" s="42" t="s">
        <v>125</v>
      </c>
      <c r="W27" s="47">
        <v>16610.259999999998</v>
      </c>
      <c r="X27" t="s">
        <v>101</v>
      </c>
      <c r="Y27" s="2" t="s">
        <v>126</v>
      </c>
      <c r="Z27" s="58">
        <v>46164</v>
      </c>
      <c r="AA27" t="s">
        <v>103</v>
      </c>
      <c r="AB27" s="49">
        <v>59717553000617</v>
      </c>
      <c r="AC27" t="s">
        <v>138</v>
      </c>
      <c r="AD27" s="13" t="s">
        <v>101</v>
      </c>
      <c r="AE27" s="57" t="s">
        <v>168</v>
      </c>
      <c r="AF27" s="57" t="s">
        <v>168</v>
      </c>
      <c r="AG27" s="57" t="s">
        <v>168</v>
      </c>
      <c r="AH27"/>
      <c r="AI27">
        <v>12.82</v>
      </c>
      <c r="AJ27"/>
      <c r="AK27"/>
      <c r="AL27"/>
      <c r="AM27" t="b">
        <v>0</v>
      </c>
      <c r="AN27" t="s">
        <v>34</v>
      </c>
      <c r="AO27" s="3">
        <v>6175</v>
      </c>
      <c r="AP27" t="s">
        <v>113</v>
      </c>
      <c r="AQ27" t="b">
        <v>1</v>
      </c>
      <c r="AR27" s="43" t="s">
        <v>64</v>
      </c>
      <c r="AS27" t="b">
        <v>1</v>
      </c>
      <c r="AT27">
        <v>28</v>
      </c>
      <c r="AU27" s="44" t="str">
        <f t="array" ref="AU27">_xlfn.IFS(BaseRelatórioGeral[[#This Row],[ID Prédoc]]="Fornecedor não foi pago","Correto",BaseRelatórioGeral[[#This Row],[ID Prédoc]]="Troca Data Pré-Doc para Mês EFDReinf","Incorreto",BaseRelatórioGeral[[#This Row],[ID Prédoc]]="Alterar Data Prédoc - Fornecedor Não foi Pago","Incorreto",BaseRelatórioGeral[[#This Row],[ID Prédoc]]="Data PréDoc OK","Correto",BaseRelatórioGeral[[#This Row],[ID Prédoc]]="Pré-Doc Sem Informação","Pré-Doc Sem Informação")</f>
        <v>Correto</v>
      </c>
      <c r="AV27" s="46" t="str">
        <f>IFERROR((CONCATENATE((MONTH(BaseRelatórioGeral[[#This Row],[Mês Pgto Fornecedor]])),"-",(YEAR(BaseRelatórioGeral[[#This Row],[Data OB Pgto Fornecedor]])))),"")</f>
        <v>5-2026</v>
      </c>
      <c r="AW27" s="46">
        <f>BaseRelatórioGeral[[#This Row],[IR]]+BaseRelatórioGeral[[#This Row],[AGREGADO]]+BaseRelatórioGeral[[#This Row],[CSLL]]+BaseRelatórioGeral[[#This Row],[PIS/PASEP]]+BaseRelatórioGeral[[#This Row],[COFINS]]</f>
        <v>12.82</v>
      </c>
      <c r="AX27" s="46">
        <f>IFERROR((IF((ROUND((IFERROR((BaseRelatórioGeral[[#This Row],[Verificação de Base/Dedução]]-BaseRelatórioGeral[[#This Row],[Alíquota Tab.EFDReinf]]),BaseRelatórioGeral[[#This Row],[Alíquota Tab.EFDReinf]])),2))=0.01,0,IF((ROUND((IFERROR((BaseRelatórioGeral[[#This Row],[Verificação de Base/Dedução]]-BaseRelatórioGeral[[#This Row],[Alíquota Tab.EFDReinf]]),BaseRelatórioGeral[[#This Row],[Alíquota Tab.EFDReinf]])),2))=-0.01,0,(IFERROR((BaseRelatórioGeral[[#This Row],[Verificação de Base/Dedução]]-BaseRelatórioGeral[[#This Row],[Alíquota Tab.EFDReinf]]),BaseRelatórioGeral[[#This Row],[Alíquota Tab.EFDReinf]]))))),BaseRelatórioGeral[[#This Row],[Alíquota Tab.EFDReinf]])</f>
        <v>0</v>
      </c>
      <c r="AY27" s="46" t="str">
        <f>BaseRelatórioGeral[[#This Row],[UG Pagadora]]</f>
        <v>302122</v>
      </c>
      <c r="AZ27" s="46" t="b">
        <f>BaseRelatórioGeral[[#This Row],[Recolhedor Darf]]=BaseRelatórioGeral[[#This Row],[Credor]]</f>
        <v>1</v>
      </c>
      <c r="BA27" s="45" t="str">
        <f>IF(BaseRelatórioGeral[[#This Row],[Conferência de Alíquota]]="AmparadaporMedidaJudicial","OK","Correto")</f>
        <v>Correto</v>
      </c>
      <c r="BB27" s="45" t="str">
        <f>IF(BaseRelatórioGeral[[#This Row],[Conferência de Alíquota]]="AmparadaporMedidaJudicial","AmparadaporMedidaJudicial","Ok")</f>
        <v>Ok</v>
      </c>
    </row>
    <row r="28" spans="5:54" x14ac:dyDescent="0.3">
      <c r="E28" t="s">
        <v>137</v>
      </c>
      <c r="F28" t="s">
        <v>54</v>
      </c>
      <c r="G28" s="2" t="s">
        <v>55</v>
      </c>
      <c r="H28" s="2" t="s">
        <v>55</v>
      </c>
      <c r="I28" s="58">
        <v>46165</v>
      </c>
      <c r="J28" s="58">
        <v>46165</v>
      </c>
      <c r="K28" s="2" t="s">
        <v>56</v>
      </c>
      <c r="L28" s="48">
        <v>40216559000178</v>
      </c>
      <c r="M28" s="40">
        <v>45978</v>
      </c>
      <c r="N28" s="2" t="s">
        <v>108</v>
      </c>
      <c r="O28" s="3">
        <v>17023</v>
      </c>
      <c r="P28" t="s">
        <v>58</v>
      </c>
      <c r="Q28" s="2" t="s">
        <v>59</v>
      </c>
      <c r="R28"/>
      <c r="S28">
        <v>33.56</v>
      </c>
      <c r="T28" s="11">
        <v>2.37</v>
      </c>
      <c r="U28" s="41"/>
      <c r="V28" s="42" t="s">
        <v>125</v>
      </c>
      <c r="W28" s="47">
        <v>16610.259999999998</v>
      </c>
      <c r="X28" t="s">
        <v>139</v>
      </c>
      <c r="Y28" s="2" t="s">
        <v>126</v>
      </c>
      <c r="Z28" s="58">
        <v>46165</v>
      </c>
      <c r="AA28" t="s">
        <v>103</v>
      </c>
      <c r="AB28" s="49">
        <v>40216559000178</v>
      </c>
      <c r="AC28" t="s">
        <v>140</v>
      </c>
      <c r="AD28" s="13" t="s">
        <v>101</v>
      </c>
      <c r="AE28" s="57" t="s">
        <v>168</v>
      </c>
      <c r="AF28" s="57" t="s">
        <v>168</v>
      </c>
      <c r="AG28" s="57" t="s">
        <v>168</v>
      </c>
      <c r="AH28"/>
      <c r="AI28">
        <v>2.37</v>
      </c>
      <c r="AJ28"/>
      <c r="AK28"/>
      <c r="AL28"/>
      <c r="AM28" t="b">
        <v>0</v>
      </c>
      <c r="AN28" t="s">
        <v>34</v>
      </c>
      <c r="AO28" s="3">
        <v>6175</v>
      </c>
      <c r="AP28" t="s">
        <v>113</v>
      </c>
      <c r="AQ28" t="b">
        <v>1</v>
      </c>
      <c r="AR28" s="43" t="s">
        <v>64</v>
      </c>
      <c r="AS28" t="b">
        <v>0</v>
      </c>
      <c r="AT28">
        <v>29</v>
      </c>
      <c r="AU28" s="44" t="str">
        <f t="array" ref="AU28">_xlfn.IFS(BaseRelatórioGeral[[#This Row],[ID Prédoc]]="Fornecedor não foi pago","Correto",BaseRelatórioGeral[[#This Row],[ID Prédoc]]="Troca Data Pré-Doc para Mês EFDReinf","Incorreto",BaseRelatórioGeral[[#This Row],[ID Prédoc]]="Alterar Data Prédoc - Fornecedor Não foi Pago","Incorreto",BaseRelatórioGeral[[#This Row],[ID Prédoc]]="Data PréDoc OK","Correto",BaseRelatórioGeral[[#This Row],[ID Prédoc]]="Pré-Doc Sem Informação","Pré-Doc Sem Informação")</f>
        <v>Correto</v>
      </c>
      <c r="AV28" s="46" t="str">
        <f>IFERROR((CONCATENATE((MONTH(BaseRelatórioGeral[[#This Row],[Mês Pgto Fornecedor]])),"-",(YEAR(BaseRelatórioGeral[[#This Row],[Data OB Pgto Fornecedor]])))),"")</f>
        <v>5-2026</v>
      </c>
      <c r="AW28" s="46">
        <f>BaseRelatórioGeral[[#This Row],[IR]]+BaseRelatórioGeral[[#This Row],[AGREGADO]]+BaseRelatórioGeral[[#This Row],[CSLL]]+BaseRelatórioGeral[[#This Row],[PIS/PASEP]]+BaseRelatórioGeral[[#This Row],[COFINS]]</f>
        <v>2.37</v>
      </c>
      <c r="AX28" s="46">
        <f>IFERROR((IF((ROUND((IFERROR((BaseRelatórioGeral[[#This Row],[Verificação de Base/Dedução]]-BaseRelatórioGeral[[#This Row],[Alíquota Tab.EFDReinf]]),BaseRelatórioGeral[[#This Row],[Alíquota Tab.EFDReinf]])),2))=0.01,0,IF((ROUND((IFERROR((BaseRelatórioGeral[[#This Row],[Verificação de Base/Dedução]]-BaseRelatórioGeral[[#This Row],[Alíquota Tab.EFDReinf]]),BaseRelatórioGeral[[#This Row],[Alíquota Tab.EFDReinf]])),2))=-0.01,0,(IFERROR((BaseRelatórioGeral[[#This Row],[Verificação de Base/Dedução]]-BaseRelatórioGeral[[#This Row],[Alíquota Tab.EFDReinf]]),BaseRelatórioGeral[[#This Row],[Alíquota Tab.EFDReinf]]))))),BaseRelatórioGeral[[#This Row],[Alíquota Tab.EFDReinf]])</f>
        <v>0</v>
      </c>
      <c r="AY28" s="46" t="str">
        <f>BaseRelatórioGeral[[#This Row],[UG Pagadora]]</f>
        <v>302122</v>
      </c>
      <c r="AZ28" s="46" t="b">
        <f>BaseRelatórioGeral[[#This Row],[Recolhedor Darf]]=BaseRelatórioGeral[[#This Row],[Credor]]</f>
        <v>1</v>
      </c>
      <c r="BA28" s="45" t="str">
        <f>IF(BaseRelatórioGeral[[#This Row],[Conferência de Alíquota]]="AmparadaporMedidaJudicial","OK","Correto")</f>
        <v>Correto</v>
      </c>
      <c r="BB28" s="45" t="str">
        <f>IF(BaseRelatórioGeral[[#This Row],[Conferência de Alíquota]]="AmparadaporMedidaJudicial","AmparadaporMedidaJudicial","Ok")</f>
        <v>Ok</v>
      </c>
    </row>
    <row r="29" spans="5:54" x14ac:dyDescent="0.3">
      <c r="E29" t="s">
        <v>137</v>
      </c>
      <c r="F29" t="s">
        <v>54</v>
      </c>
      <c r="G29" s="2" t="s">
        <v>55</v>
      </c>
      <c r="H29" s="2" t="s">
        <v>55</v>
      </c>
      <c r="I29" s="58">
        <v>46166</v>
      </c>
      <c r="J29" s="58">
        <v>46166</v>
      </c>
      <c r="K29" s="2" t="s">
        <v>56</v>
      </c>
      <c r="L29" s="48">
        <v>21323689000165</v>
      </c>
      <c r="M29" s="40">
        <v>45978</v>
      </c>
      <c r="N29" s="2" t="s">
        <v>108</v>
      </c>
      <c r="O29" s="3">
        <v>17023</v>
      </c>
      <c r="P29" t="s">
        <v>58</v>
      </c>
      <c r="Q29" s="2" t="s">
        <v>59</v>
      </c>
      <c r="R29"/>
      <c r="S29">
        <v>59.95</v>
      </c>
      <c r="T29" s="11">
        <v>4.2300000000000004</v>
      </c>
      <c r="U29" s="41"/>
      <c r="V29" s="42" t="s">
        <v>125</v>
      </c>
      <c r="W29" s="47">
        <v>16610.259999999998</v>
      </c>
      <c r="X29" t="s">
        <v>139</v>
      </c>
      <c r="Y29" s="2" t="s">
        <v>126</v>
      </c>
      <c r="Z29" s="58">
        <v>46166</v>
      </c>
      <c r="AA29" t="s">
        <v>103</v>
      </c>
      <c r="AB29" s="49">
        <v>21323689000165</v>
      </c>
      <c r="AC29" t="s">
        <v>141</v>
      </c>
      <c r="AD29" s="13" t="s">
        <v>101</v>
      </c>
      <c r="AE29" s="57" t="s">
        <v>168</v>
      </c>
      <c r="AF29" s="57" t="s">
        <v>168</v>
      </c>
      <c r="AG29" s="57" t="s">
        <v>168</v>
      </c>
      <c r="AH29"/>
      <c r="AI29">
        <v>4.2300000000000004</v>
      </c>
      <c r="AJ29"/>
      <c r="AK29"/>
      <c r="AL29"/>
      <c r="AM29" t="b">
        <v>0</v>
      </c>
      <c r="AN29" t="s">
        <v>34</v>
      </c>
      <c r="AO29" s="3">
        <v>6175</v>
      </c>
      <c r="AP29" t="s">
        <v>113</v>
      </c>
      <c r="AQ29" t="b">
        <v>1</v>
      </c>
      <c r="AR29" s="43" t="s">
        <v>64</v>
      </c>
      <c r="AS29" t="b">
        <v>0</v>
      </c>
      <c r="AT29">
        <v>30</v>
      </c>
      <c r="AU29" s="44" t="str">
        <f t="array" ref="AU29">_xlfn.IFS(BaseRelatórioGeral[[#This Row],[ID Prédoc]]="Fornecedor não foi pago","Correto",BaseRelatórioGeral[[#This Row],[ID Prédoc]]="Troca Data Pré-Doc para Mês EFDReinf","Incorreto",BaseRelatórioGeral[[#This Row],[ID Prédoc]]="Alterar Data Prédoc - Fornecedor Não foi Pago","Incorreto",BaseRelatórioGeral[[#This Row],[ID Prédoc]]="Data PréDoc OK","Correto",BaseRelatórioGeral[[#This Row],[ID Prédoc]]="Pré-Doc Sem Informação","Pré-Doc Sem Informação")</f>
        <v>Correto</v>
      </c>
      <c r="AV29" s="46" t="str">
        <f>IFERROR((CONCATENATE((MONTH(BaseRelatórioGeral[[#This Row],[Mês Pgto Fornecedor]])),"-",(YEAR(BaseRelatórioGeral[[#This Row],[Data OB Pgto Fornecedor]])))),"")</f>
        <v>5-2026</v>
      </c>
      <c r="AW29" s="46">
        <f>BaseRelatórioGeral[[#This Row],[IR]]+BaseRelatórioGeral[[#This Row],[AGREGADO]]+BaseRelatórioGeral[[#This Row],[CSLL]]+BaseRelatórioGeral[[#This Row],[PIS/PASEP]]+BaseRelatórioGeral[[#This Row],[COFINS]]</f>
        <v>4.2300000000000004</v>
      </c>
      <c r="AX29" s="46">
        <f>IFERROR((IF((ROUND((IFERROR((BaseRelatórioGeral[[#This Row],[Verificação de Base/Dedução]]-BaseRelatórioGeral[[#This Row],[Alíquota Tab.EFDReinf]]),BaseRelatórioGeral[[#This Row],[Alíquota Tab.EFDReinf]])),2))=0.01,0,IF((ROUND((IFERROR((BaseRelatórioGeral[[#This Row],[Verificação de Base/Dedução]]-BaseRelatórioGeral[[#This Row],[Alíquota Tab.EFDReinf]]),BaseRelatórioGeral[[#This Row],[Alíquota Tab.EFDReinf]])),2))=-0.01,0,(IFERROR((BaseRelatórioGeral[[#This Row],[Verificação de Base/Dedução]]-BaseRelatórioGeral[[#This Row],[Alíquota Tab.EFDReinf]]),BaseRelatórioGeral[[#This Row],[Alíquota Tab.EFDReinf]]))))),BaseRelatórioGeral[[#This Row],[Alíquota Tab.EFDReinf]])</f>
        <v>0</v>
      </c>
      <c r="AY29" s="46" t="str">
        <f>BaseRelatórioGeral[[#This Row],[UG Pagadora]]</f>
        <v>302122</v>
      </c>
      <c r="AZ29" s="46" t="b">
        <f>BaseRelatórioGeral[[#This Row],[Recolhedor Darf]]=BaseRelatórioGeral[[#This Row],[Credor]]</f>
        <v>1</v>
      </c>
      <c r="BA29" s="45" t="str">
        <f>IF(BaseRelatórioGeral[[#This Row],[Conferência de Alíquota]]="AmparadaporMedidaJudicial","OK","Correto")</f>
        <v>Correto</v>
      </c>
      <c r="BB29" s="45" t="str">
        <f>IF(BaseRelatórioGeral[[#This Row],[Conferência de Alíquota]]="AmparadaporMedidaJudicial","AmparadaporMedidaJudicial","Ok")</f>
        <v>Ok</v>
      </c>
    </row>
    <row r="30" spans="5:54" x14ac:dyDescent="0.3">
      <c r="E30" t="s">
        <v>137</v>
      </c>
      <c r="F30" t="s">
        <v>54</v>
      </c>
      <c r="G30" s="2" t="s">
        <v>55</v>
      </c>
      <c r="H30" s="2" t="s">
        <v>55</v>
      </c>
      <c r="I30" s="58">
        <v>46167</v>
      </c>
      <c r="J30" s="58">
        <v>46167</v>
      </c>
      <c r="K30" s="2" t="s">
        <v>56</v>
      </c>
      <c r="L30" s="48">
        <v>27451750000136</v>
      </c>
      <c r="M30" s="40">
        <v>45978</v>
      </c>
      <c r="N30" s="2" t="s">
        <v>108</v>
      </c>
      <c r="O30" s="3">
        <v>17023</v>
      </c>
      <c r="P30" t="s">
        <v>58</v>
      </c>
      <c r="Q30" s="2" t="s">
        <v>59</v>
      </c>
      <c r="R30"/>
      <c r="S30">
        <v>59.46</v>
      </c>
      <c r="T30" s="11">
        <v>4.1900000000000004</v>
      </c>
      <c r="U30" s="41"/>
      <c r="V30" s="42" t="s">
        <v>125</v>
      </c>
      <c r="W30" s="47">
        <v>16610.259999999998</v>
      </c>
      <c r="X30" t="s">
        <v>101</v>
      </c>
      <c r="Y30" s="2" t="s">
        <v>126</v>
      </c>
      <c r="Z30" s="58">
        <v>46167</v>
      </c>
      <c r="AA30" t="s">
        <v>103</v>
      </c>
      <c r="AB30" s="49">
        <v>27451750000136</v>
      </c>
      <c r="AC30" t="s">
        <v>142</v>
      </c>
      <c r="AD30" s="13" t="s">
        <v>101</v>
      </c>
      <c r="AE30" s="57" t="s">
        <v>168</v>
      </c>
      <c r="AF30" s="57" t="s">
        <v>168</v>
      </c>
      <c r="AG30" s="57" t="s">
        <v>168</v>
      </c>
      <c r="AH30"/>
      <c r="AI30">
        <v>4.1900000000000004</v>
      </c>
      <c r="AJ30"/>
      <c r="AK30"/>
      <c r="AL30"/>
      <c r="AM30" t="b">
        <v>0</v>
      </c>
      <c r="AN30" t="s">
        <v>34</v>
      </c>
      <c r="AO30" s="3">
        <v>6175</v>
      </c>
      <c r="AP30" t="s">
        <v>113</v>
      </c>
      <c r="AQ30" t="b">
        <v>1</v>
      </c>
      <c r="AR30" s="43" t="s">
        <v>64</v>
      </c>
      <c r="AS30" t="b">
        <v>1</v>
      </c>
      <c r="AT30">
        <v>31</v>
      </c>
      <c r="AU30" s="44" t="str">
        <f t="array" ref="AU30">_xlfn.IFS(BaseRelatórioGeral[[#This Row],[ID Prédoc]]="Fornecedor não foi pago","Correto",BaseRelatórioGeral[[#This Row],[ID Prédoc]]="Troca Data Pré-Doc para Mês EFDReinf","Incorreto",BaseRelatórioGeral[[#This Row],[ID Prédoc]]="Alterar Data Prédoc - Fornecedor Não foi Pago","Incorreto",BaseRelatórioGeral[[#This Row],[ID Prédoc]]="Data PréDoc OK","Correto",BaseRelatórioGeral[[#This Row],[ID Prédoc]]="Pré-Doc Sem Informação","Pré-Doc Sem Informação")</f>
        <v>Correto</v>
      </c>
      <c r="AV30" s="46" t="str">
        <f>IFERROR((CONCATENATE((MONTH(BaseRelatórioGeral[[#This Row],[Mês Pgto Fornecedor]])),"-",(YEAR(BaseRelatórioGeral[[#This Row],[Data OB Pgto Fornecedor]])))),"")</f>
        <v>5-2026</v>
      </c>
      <c r="AW30" s="46">
        <f>BaseRelatórioGeral[[#This Row],[IR]]+BaseRelatórioGeral[[#This Row],[AGREGADO]]+BaseRelatórioGeral[[#This Row],[CSLL]]+BaseRelatórioGeral[[#This Row],[PIS/PASEP]]+BaseRelatórioGeral[[#This Row],[COFINS]]</f>
        <v>4.1900000000000004</v>
      </c>
      <c r="AX30" s="46">
        <f>IFERROR((IF((ROUND((IFERROR((BaseRelatórioGeral[[#This Row],[Verificação de Base/Dedução]]-BaseRelatórioGeral[[#This Row],[Alíquota Tab.EFDReinf]]),BaseRelatórioGeral[[#This Row],[Alíquota Tab.EFDReinf]])),2))=0.01,0,IF((ROUND((IFERROR((BaseRelatórioGeral[[#This Row],[Verificação de Base/Dedução]]-BaseRelatórioGeral[[#This Row],[Alíquota Tab.EFDReinf]]),BaseRelatórioGeral[[#This Row],[Alíquota Tab.EFDReinf]])),2))=-0.01,0,(IFERROR((BaseRelatórioGeral[[#This Row],[Verificação de Base/Dedução]]-BaseRelatórioGeral[[#This Row],[Alíquota Tab.EFDReinf]]),BaseRelatórioGeral[[#This Row],[Alíquota Tab.EFDReinf]]))))),BaseRelatórioGeral[[#This Row],[Alíquota Tab.EFDReinf]])</f>
        <v>0</v>
      </c>
      <c r="AY30" s="46" t="str">
        <f>BaseRelatórioGeral[[#This Row],[UG Pagadora]]</f>
        <v>302122</v>
      </c>
      <c r="AZ30" s="46" t="b">
        <f>BaseRelatórioGeral[[#This Row],[Recolhedor Darf]]=BaseRelatórioGeral[[#This Row],[Credor]]</f>
        <v>1</v>
      </c>
      <c r="BA30" s="45" t="str">
        <f>IF(BaseRelatórioGeral[[#This Row],[Conferência de Alíquota]]="AmparadaporMedidaJudicial","OK","Correto")</f>
        <v>Correto</v>
      </c>
      <c r="BB30" s="45" t="str">
        <f>IF(BaseRelatórioGeral[[#This Row],[Conferência de Alíquota]]="AmparadaporMedidaJudicial","AmparadaporMedidaJudicial","Ok")</f>
        <v>Ok</v>
      </c>
    </row>
    <row r="31" spans="5:54" x14ac:dyDescent="0.3">
      <c r="E31" t="s">
        <v>137</v>
      </c>
      <c r="F31" t="s">
        <v>54</v>
      </c>
      <c r="G31" s="2" t="s">
        <v>55</v>
      </c>
      <c r="H31" s="2" t="s">
        <v>55</v>
      </c>
      <c r="I31" s="58">
        <v>46157</v>
      </c>
      <c r="J31" s="58">
        <v>46157</v>
      </c>
      <c r="K31" s="2" t="s">
        <v>56</v>
      </c>
      <c r="L31" s="48">
        <v>40216559000178</v>
      </c>
      <c r="M31" s="40">
        <v>45978</v>
      </c>
      <c r="N31" s="2" t="s">
        <v>108</v>
      </c>
      <c r="O31" s="3">
        <v>17023</v>
      </c>
      <c r="P31" t="s">
        <v>58</v>
      </c>
      <c r="Q31" s="2" t="s">
        <v>59</v>
      </c>
      <c r="R31"/>
      <c r="S31">
        <v>197.22</v>
      </c>
      <c r="T31" s="11">
        <v>13.9</v>
      </c>
      <c r="U31" s="41"/>
      <c r="V31" s="42" t="s">
        <v>125</v>
      </c>
      <c r="W31" s="47">
        <v>16610.259999999998</v>
      </c>
      <c r="X31" t="s">
        <v>101</v>
      </c>
      <c r="Y31" s="2" t="s">
        <v>126</v>
      </c>
      <c r="Z31" s="58">
        <v>46157</v>
      </c>
      <c r="AA31" t="s">
        <v>103</v>
      </c>
      <c r="AB31" s="49">
        <v>40216559000178</v>
      </c>
      <c r="AC31" t="s">
        <v>143</v>
      </c>
      <c r="AD31" s="13" t="s">
        <v>101</v>
      </c>
      <c r="AE31" s="57" t="s">
        <v>168</v>
      </c>
      <c r="AF31" s="57" t="s">
        <v>168</v>
      </c>
      <c r="AG31" s="57" t="s">
        <v>168</v>
      </c>
      <c r="AH31"/>
      <c r="AI31">
        <v>13.9</v>
      </c>
      <c r="AJ31"/>
      <c r="AK31"/>
      <c r="AL31"/>
      <c r="AM31" t="b">
        <v>0</v>
      </c>
      <c r="AN31" t="s">
        <v>34</v>
      </c>
      <c r="AO31" s="3">
        <v>6175</v>
      </c>
      <c r="AP31" t="s">
        <v>113</v>
      </c>
      <c r="AQ31" t="b">
        <v>1</v>
      </c>
      <c r="AR31" s="43" t="s">
        <v>64</v>
      </c>
      <c r="AS31" t="b">
        <v>1</v>
      </c>
      <c r="AT31">
        <v>32</v>
      </c>
      <c r="AU31" s="44" t="str">
        <f t="array" ref="AU31">_xlfn.IFS(BaseRelatórioGeral[[#This Row],[ID Prédoc]]="Fornecedor não foi pago","Correto",BaseRelatórioGeral[[#This Row],[ID Prédoc]]="Troca Data Pré-Doc para Mês EFDReinf","Incorreto",BaseRelatórioGeral[[#This Row],[ID Prédoc]]="Alterar Data Prédoc - Fornecedor Não foi Pago","Incorreto",BaseRelatórioGeral[[#This Row],[ID Prédoc]]="Data PréDoc OK","Correto",BaseRelatórioGeral[[#This Row],[ID Prédoc]]="Pré-Doc Sem Informação","Pré-Doc Sem Informação")</f>
        <v>Correto</v>
      </c>
      <c r="AV31" s="46" t="str">
        <f>IFERROR((CONCATENATE((MONTH(BaseRelatórioGeral[[#This Row],[Mês Pgto Fornecedor]])),"-",(YEAR(BaseRelatórioGeral[[#This Row],[Data OB Pgto Fornecedor]])))),"")</f>
        <v>5-2026</v>
      </c>
      <c r="AW31" s="46">
        <f>BaseRelatórioGeral[[#This Row],[IR]]+BaseRelatórioGeral[[#This Row],[AGREGADO]]+BaseRelatórioGeral[[#This Row],[CSLL]]+BaseRelatórioGeral[[#This Row],[PIS/PASEP]]+BaseRelatórioGeral[[#This Row],[COFINS]]</f>
        <v>13.9</v>
      </c>
      <c r="AX31" s="46">
        <f>IFERROR((IF((ROUND((IFERROR((BaseRelatórioGeral[[#This Row],[Verificação de Base/Dedução]]-BaseRelatórioGeral[[#This Row],[Alíquota Tab.EFDReinf]]),BaseRelatórioGeral[[#This Row],[Alíquota Tab.EFDReinf]])),2))=0.01,0,IF((ROUND((IFERROR((BaseRelatórioGeral[[#This Row],[Verificação de Base/Dedução]]-BaseRelatórioGeral[[#This Row],[Alíquota Tab.EFDReinf]]),BaseRelatórioGeral[[#This Row],[Alíquota Tab.EFDReinf]])),2))=-0.01,0,(IFERROR((BaseRelatórioGeral[[#This Row],[Verificação de Base/Dedução]]-BaseRelatórioGeral[[#This Row],[Alíquota Tab.EFDReinf]]),BaseRelatórioGeral[[#This Row],[Alíquota Tab.EFDReinf]]))))),BaseRelatórioGeral[[#This Row],[Alíquota Tab.EFDReinf]])</f>
        <v>0</v>
      </c>
      <c r="AY31" s="46" t="str">
        <f>BaseRelatórioGeral[[#This Row],[UG Pagadora]]</f>
        <v>302122</v>
      </c>
      <c r="AZ31" s="46" t="b">
        <f>BaseRelatórioGeral[[#This Row],[Recolhedor Darf]]=BaseRelatórioGeral[[#This Row],[Credor]]</f>
        <v>1</v>
      </c>
      <c r="BA31" s="45" t="str">
        <f>IF(BaseRelatórioGeral[[#This Row],[Conferência de Alíquota]]="AmparadaporMedidaJudicial","OK","Correto")</f>
        <v>Correto</v>
      </c>
      <c r="BB31" s="45" t="str">
        <f>IF(BaseRelatórioGeral[[#This Row],[Conferência de Alíquota]]="AmparadaporMedidaJudicial","AmparadaporMedidaJudicial","Ok")</f>
        <v>Ok</v>
      </c>
    </row>
    <row r="32" spans="5:54" x14ac:dyDescent="0.3">
      <c r="E32" t="s">
        <v>144</v>
      </c>
      <c r="F32" t="s">
        <v>54</v>
      </c>
      <c r="G32" s="2" t="s">
        <v>55</v>
      </c>
      <c r="H32" s="2" t="s">
        <v>55</v>
      </c>
      <c r="I32" s="58">
        <v>46158</v>
      </c>
      <c r="J32" s="58">
        <v>46158</v>
      </c>
      <c r="K32" s="2" t="s">
        <v>56</v>
      </c>
      <c r="L32" s="2" t="s">
        <v>145</v>
      </c>
      <c r="M32" s="40">
        <v>45980</v>
      </c>
      <c r="N32" s="2" t="s">
        <v>57</v>
      </c>
      <c r="O32" s="3">
        <v>17033</v>
      </c>
      <c r="P32" t="s">
        <v>58</v>
      </c>
      <c r="Q32" s="2" t="s">
        <v>59</v>
      </c>
      <c r="R32" t="s">
        <v>60</v>
      </c>
      <c r="S32">
        <v>41890.239999999998</v>
      </c>
      <c r="T32" s="11">
        <v>3958.63</v>
      </c>
      <c r="U32" s="41" t="s">
        <v>61</v>
      </c>
      <c r="V32" s="42" t="s">
        <v>146</v>
      </c>
      <c r="W32" s="47">
        <v>41890.239999999998</v>
      </c>
      <c r="X32" t="s">
        <v>62</v>
      </c>
      <c r="Y32" s="2" t="s">
        <v>147</v>
      </c>
      <c r="Z32" s="58">
        <v>46158</v>
      </c>
      <c r="AA32" t="s">
        <v>148</v>
      </c>
      <c r="AB32" t="s">
        <v>145</v>
      </c>
      <c r="AC32" t="s">
        <v>149</v>
      </c>
      <c r="AD32" s="13" t="s">
        <v>62</v>
      </c>
      <c r="AE32" s="57" t="s">
        <v>168</v>
      </c>
      <c r="AF32" s="57" t="s">
        <v>168</v>
      </c>
      <c r="AG32" s="57" t="s">
        <v>168</v>
      </c>
      <c r="AH32"/>
      <c r="AI32">
        <v>3958.63</v>
      </c>
      <c r="AJ32"/>
      <c r="AK32"/>
      <c r="AL32"/>
      <c r="AM32" t="b">
        <v>0</v>
      </c>
      <c r="AN32" t="s">
        <v>34</v>
      </c>
      <c r="AO32" s="3">
        <v>6190</v>
      </c>
      <c r="AP32" t="s">
        <v>65</v>
      </c>
      <c r="AQ32" t="b">
        <v>1</v>
      </c>
      <c r="AR32" s="43" t="s">
        <v>64</v>
      </c>
      <c r="AS32" t="b">
        <v>1</v>
      </c>
      <c r="AT32">
        <v>22</v>
      </c>
      <c r="AU32" s="44" t="str">
        <f t="array" ref="AU32">_xlfn.IFS(BaseRelatórioGeral[[#This Row],[ID Prédoc]]="Fornecedor não foi pago","Correto",BaseRelatórioGeral[[#This Row],[ID Prédoc]]="Troca Data Pré-Doc para Mês EFDReinf","Incorreto",BaseRelatórioGeral[[#This Row],[ID Prédoc]]="Alterar Data Prédoc - Fornecedor Não foi Pago","Incorreto",BaseRelatórioGeral[[#This Row],[ID Prédoc]]="Data PréDoc OK","Correto",BaseRelatórioGeral[[#This Row],[ID Prédoc]]="Pré-Doc Sem Informação","Pré-Doc Sem Informação")</f>
        <v>Correto</v>
      </c>
      <c r="AV32" s="46" t="str">
        <f>IFERROR((CONCATENATE((MONTH(BaseRelatórioGeral[[#This Row],[Mês Pgto Fornecedor]])),"-",(YEAR(BaseRelatórioGeral[[#This Row],[Data OB Pgto Fornecedor]])))),"")</f>
        <v>5-2026</v>
      </c>
      <c r="AW32" s="46">
        <f>BaseRelatórioGeral[[#This Row],[IR]]+BaseRelatórioGeral[[#This Row],[AGREGADO]]+BaseRelatórioGeral[[#This Row],[CSLL]]+BaseRelatórioGeral[[#This Row],[PIS/PASEP]]+BaseRelatórioGeral[[#This Row],[COFINS]]</f>
        <v>3958.63</v>
      </c>
      <c r="AX32" s="46">
        <f>IFERROR((IF((ROUND((IFERROR((BaseRelatórioGeral[[#This Row],[Verificação de Base/Dedução]]-BaseRelatórioGeral[[#This Row],[Alíquota Tab.EFDReinf]]),BaseRelatórioGeral[[#This Row],[Alíquota Tab.EFDReinf]])),2))=0.01,0,IF((ROUND((IFERROR((BaseRelatórioGeral[[#This Row],[Verificação de Base/Dedução]]-BaseRelatórioGeral[[#This Row],[Alíquota Tab.EFDReinf]]),BaseRelatórioGeral[[#This Row],[Alíquota Tab.EFDReinf]])),2))=-0.01,0,(IFERROR((BaseRelatórioGeral[[#This Row],[Verificação de Base/Dedução]]-BaseRelatórioGeral[[#This Row],[Alíquota Tab.EFDReinf]]),BaseRelatórioGeral[[#This Row],[Alíquota Tab.EFDReinf]]))))),BaseRelatórioGeral[[#This Row],[Alíquota Tab.EFDReinf]])</f>
        <v>0</v>
      </c>
      <c r="AY32" s="46" t="str">
        <f>BaseRelatórioGeral[[#This Row],[UG Pagadora]]</f>
        <v>302122</v>
      </c>
      <c r="AZ32" s="46" t="b">
        <f>BaseRelatórioGeral[[#This Row],[Recolhedor Darf]]=BaseRelatórioGeral[[#This Row],[Credor]]</f>
        <v>1</v>
      </c>
      <c r="BA32" s="45" t="str">
        <f>IF(BaseRelatórioGeral[[#This Row],[Conferência de Alíquota]]="AmparadaporMedidaJudicial","OK","Correto")</f>
        <v>Correto</v>
      </c>
      <c r="BB32" s="45" t="str">
        <f>IF(BaseRelatórioGeral[[#This Row],[Conferência de Alíquota]]="AmparadaporMedidaJudicial","AmparadaporMedidaJudicial","Ok")</f>
        <v>Ok</v>
      </c>
    </row>
    <row r="33" spans="5:54" x14ac:dyDescent="0.3">
      <c r="E33" t="s">
        <v>150</v>
      </c>
      <c r="F33" t="s">
        <v>54</v>
      </c>
      <c r="G33" s="2" t="s">
        <v>55</v>
      </c>
      <c r="H33" s="2" t="s">
        <v>55</v>
      </c>
      <c r="I33" s="58">
        <v>46159</v>
      </c>
      <c r="J33" s="58">
        <v>46159</v>
      </c>
      <c r="K33" s="2" t="s">
        <v>56</v>
      </c>
      <c r="L33" s="2" t="s">
        <v>151</v>
      </c>
      <c r="M33" s="40">
        <v>45982</v>
      </c>
      <c r="N33" s="2" t="s">
        <v>57</v>
      </c>
      <c r="O33" s="3">
        <v>17099</v>
      </c>
      <c r="P33" t="s">
        <v>58</v>
      </c>
      <c r="Q33" s="2" t="s">
        <v>59</v>
      </c>
      <c r="R33" t="s">
        <v>60</v>
      </c>
      <c r="S33">
        <v>21534.720000000001</v>
      </c>
      <c r="T33" s="11">
        <v>2035.03</v>
      </c>
      <c r="U33" s="41" t="s">
        <v>61</v>
      </c>
      <c r="V33" s="42" t="s">
        <v>152</v>
      </c>
      <c r="W33" s="47">
        <v>16706.72</v>
      </c>
      <c r="X33" t="s">
        <v>62</v>
      </c>
      <c r="Y33" s="2" t="s">
        <v>153</v>
      </c>
      <c r="Z33" s="58">
        <v>46159</v>
      </c>
      <c r="AA33" t="s">
        <v>154</v>
      </c>
      <c r="AB33" t="s">
        <v>151</v>
      </c>
      <c r="AC33" t="s">
        <v>155</v>
      </c>
      <c r="AD33" s="13" t="s">
        <v>62</v>
      </c>
      <c r="AE33" s="57" t="s">
        <v>168</v>
      </c>
      <c r="AF33" s="57" t="s">
        <v>168</v>
      </c>
      <c r="AG33" s="57" t="s">
        <v>168</v>
      </c>
      <c r="AH33"/>
      <c r="AI33">
        <v>2035.03</v>
      </c>
      <c r="AJ33"/>
      <c r="AK33"/>
      <c r="AL33"/>
      <c r="AM33" t="b">
        <v>0</v>
      </c>
      <c r="AN33" t="s">
        <v>34</v>
      </c>
      <c r="AO33" s="3">
        <v>6190</v>
      </c>
      <c r="AP33" t="s">
        <v>63</v>
      </c>
      <c r="AQ33" t="b">
        <v>1</v>
      </c>
      <c r="AR33" s="43" t="s">
        <v>64</v>
      </c>
      <c r="AS33" t="b">
        <v>1</v>
      </c>
      <c r="AT33">
        <v>18</v>
      </c>
      <c r="AU33" s="44" t="str">
        <f t="array" ref="AU33">_xlfn.IFS(BaseRelatórioGeral[[#This Row],[ID Prédoc]]="Fornecedor não foi pago","Correto",BaseRelatórioGeral[[#This Row],[ID Prédoc]]="Troca Data Pré-Doc para Mês EFDReinf","Incorreto",BaseRelatórioGeral[[#This Row],[ID Prédoc]]="Alterar Data Prédoc - Fornecedor Não foi Pago","Incorreto",BaseRelatórioGeral[[#This Row],[ID Prédoc]]="Data PréDoc OK","Correto",BaseRelatórioGeral[[#This Row],[ID Prédoc]]="Pré-Doc Sem Informação","Pré-Doc Sem Informação")</f>
        <v>Correto</v>
      </c>
      <c r="AV33" s="46" t="str">
        <f>IFERROR((CONCATENATE((MONTH(BaseRelatórioGeral[[#This Row],[Mês Pgto Fornecedor]])),"-",(YEAR(BaseRelatórioGeral[[#This Row],[Data OB Pgto Fornecedor]])))),"")</f>
        <v>5-2026</v>
      </c>
      <c r="AW33" s="46">
        <f>BaseRelatórioGeral[[#This Row],[IR]]+BaseRelatórioGeral[[#This Row],[AGREGADO]]+BaseRelatórioGeral[[#This Row],[CSLL]]+BaseRelatórioGeral[[#This Row],[PIS/PASEP]]+BaseRelatórioGeral[[#This Row],[COFINS]]</f>
        <v>2035.03</v>
      </c>
      <c r="AX33" s="46">
        <f>IFERROR((IF((ROUND((IFERROR((BaseRelatórioGeral[[#This Row],[Verificação de Base/Dedução]]-BaseRelatórioGeral[[#This Row],[Alíquota Tab.EFDReinf]]),BaseRelatórioGeral[[#This Row],[Alíquota Tab.EFDReinf]])),2))=0.01,0,IF((ROUND((IFERROR((BaseRelatórioGeral[[#This Row],[Verificação de Base/Dedução]]-BaseRelatórioGeral[[#This Row],[Alíquota Tab.EFDReinf]]),BaseRelatórioGeral[[#This Row],[Alíquota Tab.EFDReinf]])),2))=-0.01,0,(IFERROR((BaseRelatórioGeral[[#This Row],[Verificação de Base/Dedução]]-BaseRelatórioGeral[[#This Row],[Alíquota Tab.EFDReinf]]),BaseRelatórioGeral[[#This Row],[Alíquota Tab.EFDReinf]]))))),BaseRelatórioGeral[[#This Row],[Alíquota Tab.EFDReinf]])</f>
        <v>0</v>
      </c>
      <c r="AY33" s="46" t="str">
        <f>BaseRelatórioGeral[[#This Row],[UG Pagadora]]</f>
        <v>302122</v>
      </c>
      <c r="AZ33" s="46" t="b">
        <f>BaseRelatórioGeral[[#This Row],[Recolhedor Darf]]=BaseRelatórioGeral[[#This Row],[Credor]]</f>
        <v>1</v>
      </c>
      <c r="BA33" s="45" t="str">
        <f>IF(BaseRelatórioGeral[[#This Row],[Conferência de Alíquota]]="AmparadaporMedidaJudicial","OK","Correto")</f>
        <v>Correto</v>
      </c>
      <c r="BB33" s="45" t="str">
        <f>IF(BaseRelatórioGeral[[#This Row],[Conferência de Alíquota]]="AmparadaporMedidaJudicial","AmparadaporMedidaJudicial","Ok")</f>
        <v>Ok</v>
      </c>
    </row>
    <row r="34" spans="5:54" x14ac:dyDescent="0.3">
      <c r="E34" t="s">
        <v>156</v>
      </c>
      <c r="F34" t="s">
        <v>54</v>
      </c>
      <c r="G34" s="2" t="s">
        <v>55</v>
      </c>
      <c r="H34" s="2" t="s">
        <v>55</v>
      </c>
      <c r="I34" s="58">
        <v>46160</v>
      </c>
      <c r="J34" s="58">
        <v>46160</v>
      </c>
      <c r="K34" s="2" t="s">
        <v>56</v>
      </c>
      <c r="L34" s="48">
        <v>10460783000140</v>
      </c>
      <c r="M34" s="40">
        <v>45988</v>
      </c>
      <c r="N34" s="2" t="s">
        <v>57</v>
      </c>
      <c r="O34" s="3">
        <v>17099</v>
      </c>
      <c r="P34" t="s">
        <v>58</v>
      </c>
      <c r="Q34" s="2" t="s">
        <v>59</v>
      </c>
      <c r="R34" t="s">
        <v>60</v>
      </c>
      <c r="S34">
        <v>36238.300000000003</v>
      </c>
      <c r="T34" s="11">
        <v>3424.52</v>
      </c>
      <c r="U34" s="41" t="s">
        <v>61</v>
      </c>
      <c r="V34" s="42" t="s">
        <v>157</v>
      </c>
      <c r="W34" s="47">
        <v>36238.300000000003</v>
      </c>
      <c r="X34" t="s">
        <v>62</v>
      </c>
      <c r="Y34" s="2" t="s">
        <v>158</v>
      </c>
      <c r="Z34" s="58">
        <v>46160</v>
      </c>
      <c r="AA34" t="s">
        <v>159</v>
      </c>
      <c r="AB34" s="49">
        <v>10460783000140</v>
      </c>
      <c r="AC34" t="s">
        <v>160</v>
      </c>
      <c r="AD34" s="13" t="s">
        <v>62</v>
      </c>
      <c r="AE34" s="57" t="s">
        <v>168</v>
      </c>
      <c r="AF34" s="57" t="s">
        <v>168</v>
      </c>
      <c r="AG34" s="57" t="s">
        <v>168</v>
      </c>
      <c r="AH34"/>
      <c r="AI34">
        <v>3424.52</v>
      </c>
      <c r="AJ34"/>
      <c r="AK34"/>
      <c r="AL34"/>
      <c r="AM34" t="b">
        <v>0</v>
      </c>
      <c r="AN34" t="s">
        <v>34</v>
      </c>
      <c r="AO34" s="3">
        <v>6190</v>
      </c>
      <c r="AP34" t="s">
        <v>63</v>
      </c>
      <c r="AQ34" t="b">
        <v>1</v>
      </c>
      <c r="AR34" s="43" t="s">
        <v>64</v>
      </c>
      <c r="AS34" t="b">
        <v>1</v>
      </c>
      <c r="AT34">
        <v>17</v>
      </c>
      <c r="AU34" s="44" t="str">
        <f t="array" ref="AU34">_xlfn.IFS(BaseRelatórioGeral[[#This Row],[ID Prédoc]]="Fornecedor não foi pago","Correto",BaseRelatórioGeral[[#This Row],[ID Prédoc]]="Troca Data Pré-Doc para Mês EFDReinf","Incorreto",BaseRelatórioGeral[[#This Row],[ID Prédoc]]="Alterar Data Prédoc - Fornecedor Não foi Pago","Incorreto",BaseRelatórioGeral[[#This Row],[ID Prédoc]]="Data PréDoc OK","Correto",BaseRelatórioGeral[[#This Row],[ID Prédoc]]="Pré-Doc Sem Informação","Pré-Doc Sem Informação")</f>
        <v>Correto</v>
      </c>
      <c r="AV34" s="46" t="str">
        <f>IFERROR((CONCATENATE((MONTH(BaseRelatórioGeral[[#This Row],[Mês Pgto Fornecedor]])),"-",(YEAR(BaseRelatórioGeral[[#This Row],[Data OB Pgto Fornecedor]])))),"")</f>
        <v>5-2026</v>
      </c>
      <c r="AW34" s="46">
        <f>BaseRelatórioGeral[[#This Row],[IR]]+BaseRelatórioGeral[[#This Row],[AGREGADO]]+BaseRelatórioGeral[[#This Row],[CSLL]]+BaseRelatórioGeral[[#This Row],[PIS/PASEP]]+BaseRelatórioGeral[[#This Row],[COFINS]]</f>
        <v>3424.52</v>
      </c>
      <c r="AX34" s="46">
        <f>IFERROR((IF((ROUND((IFERROR((BaseRelatórioGeral[[#This Row],[Verificação de Base/Dedução]]-BaseRelatórioGeral[[#This Row],[Alíquota Tab.EFDReinf]]),BaseRelatórioGeral[[#This Row],[Alíquota Tab.EFDReinf]])),2))=0.01,0,IF((ROUND((IFERROR((BaseRelatórioGeral[[#This Row],[Verificação de Base/Dedução]]-BaseRelatórioGeral[[#This Row],[Alíquota Tab.EFDReinf]]),BaseRelatórioGeral[[#This Row],[Alíquota Tab.EFDReinf]])),2))=-0.01,0,(IFERROR((BaseRelatórioGeral[[#This Row],[Verificação de Base/Dedução]]-BaseRelatórioGeral[[#This Row],[Alíquota Tab.EFDReinf]]),BaseRelatórioGeral[[#This Row],[Alíquota Tab.EFDReinf]]))))),BaseRelatórioGeral[[#This Row],[Alíquota Tab.EFDReinf]])</f>
        <v>0</v>
      </c>
      <c r="AY34" s="46" t="str">
        <f>BaseRelatórioGeral[[#This Row],[UG Pagadora]]</f>
        <v>302122</v>
      </c>
      <c r="AZ34" s="46" t="b">
        <f>BaseRelatórioGeral[[#This Row],[Recolhedor Darf]]=BaseRelatórioGeral[[#This Row],[Credor]]</f>
        <v>1</v>
      </c>
      <c r="BA34" s="45" t="str">
        <f>IF(BaseRelatórioGeral[[#This Row],[Conferência de Alíquota]]="AmparadaporMedidaJudicial","OK","Correto")</f>
        <v>Correto</v>
      </c>
      <c r="BB34" s="45" t="str">
        <f>IF(BaseRelatórioGeral[[#This Row],[Conferência de Alíquota]]="AmparadaporMedidaJudicial","AmparadaporMedidaJudicial","Ok")</f>
        <v>Ok</v>
      </c>
    </row>
    <row r="35" spans="5:54" x14ac:dyDescent="0.3">
      <c r="E35" t="s">
        <v>161</v>
      </c>
      <c r="F35" t="s">
        <v>54</v>
      </c>
      <c r="G35" s="2" t="s">
        <v>55</v>
      </c>
      <c r="H35" s="2" t="s">
        <v>55</v>
      </c>
      <c r="I35" s="58">
        <v>46161</v>
      </c>
      <c r="J35" s="58">
        <v>46161</v>
      </c>
      <c r="K35" s="2" t="s">
        <v>56</v>
      </c>
      <c r="L35" s="48">
        <v>30809465000159</v>
      </c>
      <c r="M35" s="40">
        <v>45978</v>
      </c>
      <c r="N35" s="2" t="s">
        <v>57</v>
      </c>
      <c r="O35" s="3">
        <v>17035</v>
      </c>
      <c r="P35" t="s">
        <v>58</v>
      </c>
      <c r="Q35" s="2" t="s">
        <v>59</v>
      </c>
      <c r="R35"/>
      <c r="S35">
        <v>70000</v>
      </c>
      <c r="T35" s="11">
        <v>6615</v>
      </c>
      <c r="U35" s="41"/>
      <c r="V35" s="42" t="s">
        <v>162</v>
      </c>
      <c r="W35">
        <v>70000</v>
      </c>
      <c r="X35" t="s">
        <v>62</v>
      </c>
      <c r="Y35" s="2" t="s">
        <v>163</v>
      </c>
      <c r="Z35" s="58">
        <v>46161</v>
      </c>
      <c r="AA35" t="s">
        <v>164</v>
      </c>
      <c r="AB35" s="49">
        <v>30809465000159</v>
      </c>
      <c r="AC35" t="s">
        <v>165</v>
      </c>
      <c r="AD35" s="13" t="s">
        <v>62</v>
      </c>
      <c r="AE35" s="57" t="s">
        <v>168</v>
      </c>
      <c r="AF35" s="57" t="s">
        <v>168</v>
      </c>
      <c r="AG35" s="57" t="s">
        <v>168</v>
      </c>
      <c r="AH35"/>
      <c r="AI35">
        <v>6615</v>
      </c>
      <c r="AJ35"/>
      <c r="AK35"/>
      <c r="AL35"/>
      <c r="AM35" t="b">
        <v>0</v>
      </c>
      <c r="AN35" t="s">
        <v>34</v>
      </c>
      <c r="AO35" s="3">
        <v>6190</v>
      </c>
      <c r="AP35" t="s">
        <v>166</v>
      </c>
      <c r="AQ35" t="b">
        <v>1</v>
      </c>
      <c r="AR35" s="43" t="s">
        <v>64</v>
      </c>
      <c r="AS35" t="b">
        <v>1</v>
      </c>
      <c r="AT35">
        <v>34</v>
      </c>
      <c r="AU35" s="44" t="str">
        <f t="array" ref="AU35">_xlfn.IFS(BaseRelatórioGeral[[#This Row],[ID Prédoc]]="Fornecedor não foi pago","Correto",BaseRelatórioGeral[[#This Row],[ID Prédoc]]="Troca Data Pré-Doc para Mês EFDReinf","Incorreto",BaseRelatórioGeral[[#This Row],[ID Prédoc]]="Alterar Data Prédoc - Fornecedor Não foi Pago","Incorreto",BaseRelatórioGeral[[#This Row],[ID Prédoc]]="Data PréDoc OK","Correto",BaseRelatórioGeral[[#This Row],[ID Prédoc]]="Pré-Doc Sem Informação","Pré-Doc Sem Informação")</f>
        <v>Correto</v>
      </c>
      <c r="AV35" s="45" t="str">
        <f>IFERROR((CONCATENATE((MONTH(BaseRelatórioGeral[[#This Row],[Mês Pgto Fornecedor]])),"-",(YEAR(BaseRelatórioGeral[[#This Row],[Data OB Pgto Fornecedor]])))),"")</f>
        <v>5-2026</v>
      </c>
      <c r="AW35" s="45">
        <f>BaseRelatórioGeral[[#This Row],[IR]]+BaseRelatórioGeral[[#This Row],[AGREGADO]]+BaseRelatórioGeral[[#This Row],[CSLL]]+BaseRelatórioGeral[[#This Row],[PIS/PASEP]]+BaseRelatórioGeral[[#This Row],[COFINS]]</f>
        <v>6615</v>
      </c>
      <c r="AX35" s="45">
        <f>IFERROR((IF((ROUND((IFERROR((BaseRelatórioGeral[[#This Row],[Verificação de Base/Dedução]]-BaseRelatórioGeral[[#This Row],[Alíquota Tab.EFDReinf]]),BaseRelatórioGeral[[#This Row],[Alíquota Tab.EFDReinf]])),2))=0.01,0,IF((ROUND((IFERROR((BaseRelatórioGeral[[#This Row],[Verificação de Base/Dedução]]-BaseRelatórioGeral[[#This Row],[Alíquota Tab.EFDReinf]]),BaseRelatórioGeral[[#This Row],[Alíquota Tab.EFDReinf]])),2))=-0.01,0,(IFERROR((BaseRelatórioGeral[[#This Row],[Verificação de Base/Dedução]]-BaseRelatórioGeral[[#This Row],[Alíquota Tab.EFDReinf]]),BaseRelatórioGeral[[#This Row],[Alíquota Tab.EFDReinf]]))))),BaseRelatórioGeral[[#This Row],[Alíquota Tab.EFDReinf]])</f>
        <v>0</v>
      </c>
      <c r="AY35" s="45" t="str">
        <f>BaseRelatórioGeral[[#This Row],[UG Pagadora]]</f>
        <v>302122</v>
      </c>
      <c r="AZ35" s="46" t="b">
        <f>BaseRelatórioGeral[[#This Row],[Recolhedor Darf]]=BaseRelatórioGeral[[#This Row],[Credor]]</f>
        <v>1</v>
      </c>
      <c r="BA35" s="45" t="str">
        <f>IF(BaseRelatórioGeral[[#This Row],[Conferência de Alíquota]]="AmparadaporMedidaJudicial","OK","Correto")</f>
        <v>Correto</v>
      </c>
      <c r="BB35" s="45" t="str">
        <f>IF(BaseRelatórioGeral[[#This Row],[Conferência de Alíquota]]="AmparadaporMedidaJudicial","AmparadaporMedidaJudicial","Ok")</f>
        <v>Ok</v>
      </c>
    </row>
    <row r="36" spans="5:54" x14ac:dyDescent="0.3">
      <c r="E36" s="9" t="s">
        <v>167</v>
      </c>
      <c r="S36" s="9">
        <f>SUBTOTAL(109,BaseRelatórioGeral[Base de Cálculo Darf])</f>
        <v>294790.77</v>
      </c>
      <c r="T36" s="53">
        <f>SUBTOTAL(109,BaseRelatórioGeral[Valor Receita Darf])</f>
        <v>24450.949999999997</v>
      </c>
      <c r="U36" s="9"/>
      <c r="V36"/>
      <c r="W36" s="47"/>
      <c r="X36" s="9"/>
      <c r="Y36" s="17"/>
      <c r="Z36" s="45"/>
      <c r="AB36" s="9"/>
      <c r="AC36" s="9"/>
      <c r="AD36" s="13"/>
      <c r="AF36" s="45"/>
      <c r="AG36" s="17"/>
      <c r="AH36" s="9">
        <f>SUBTOTAL(109,BaseRelatórioGeral[IR])</f>
        <v>385.88</v>
      </c>
      <c r="AI36" s="9">
        <f>SUBTOTAL(109,BaseRelatórioGeral[AGREGADO])</f>
        <v>23943.35</v>
      </c>
      <c r="AJ36" s="9">
        <f>SUBTOTAL(109,BaseRelatórioGeral[CSLL])</f>
        <v>121.72</v>
      </c>
      <c r="AK36" s="9">
        <f>SUBTOTAL(109,BaseRelatórioGeral[PIS/PASEP])</f>
        <v>0</v>
      </c>
      <c r="AL36" s="9">
        <f>SUBTOTAL(109,BaseRelatórioGeral[COFINS])</f>
        <v>0</v>
      </c>
      <c r="AM36" s="9"/>
      <c r="AP36" s="9"/>
      <c r="AR36" s="7"/>
      <c r="AU36" s="7">
        <f>SUBTOTAL(103,BaseRelatórioGeral[ID Verificação Prédoc])</f>
        <v>27</v>
      </c>
      <c r="AV36" s="45"/>
      <c r="AW36" s="45">
        <f>SUBTOTAL(109,BaseRelatórioGeral[Valor Darf Verificado])</f>
        <v>24450.949999999997</v>
      </c>
      <c r="AX36" s="45"/>
      <c r="AY36" s="45"/>
      <c r="AZ36" s="45"/>
      <c r="BA36" s="45"/>
      <c r="BB36" s="45"/>
    </row>
    <row r="37" spans="5:54" x14ac:dyDescent="0.3">
      <c r="AV37" s="9"/>
    </row>
    <row r="38" spans="5:54" x14ac:dyDescent="0.3">
      <c r="AV38" s="9"/>
    </row>
    <row r="39" spans="5:54" x14ac:dyDescent="0.3">
      <c r="AV39" s="9"/>
    </row>
    <row r="40" spans="5:54" x14ac:dyDescent="0.3">
      <c r="AI40" s="56">
        <v>503749.72</v>
      </c>
      <c r="AV40" s="9"/>
    </row>
    <row r="41" spans="5:54" x14ac:dyDescent="0.3">
      <c r="AV41" s="9"/>
    </row>
    <row r="42" spans="5:54" x14ac:dyDescent="0.3">
      <c r="AV42" s="9"/>
    </row>
    <row r="43" spans="5:54" x14ac:dyDescent="0.3">
      <c r="AV43" s="9"/>
    </row>
    <row r="44" spans="5:54" x14ac:dyDescent="0.3">
      <c r="AV44" s="9"/>
    </row>
    <row r="45" spans="5:54" x14ac:dyDescent="0.3">
      <c r="AV45" s="9"/>
    </row>
    <row r="46" spans="5:54" x14ac:dyDescent="0.3">
      <c r="AV46" s="9"/>
    </row>
    <row r="47" spans="5:54" x14ac:dyDescent="0.3">
      <c r="AC47" s="9"/>
      <c r="AV47" s="9"/>
    </row>
    <row r="48" spans="5:54" x14ac:dyDescent="0.3">
      <c r="AC48" s="9"/>
      <c r="AV48" s="9"/>
    </row>
    <row r="49" spans="20:48" x14ac:dyDescent="0.3">
      <c r="AC49" s="9"/>
      <c r="AV49" s="9"/>
    </row>
    <row r="50" spans="20:48" x14ac:dyDescent="0.3">
      <c r="T50" s="8">
        <v>0</v>
      </c>
      <c r="AC50" s="9"/>
      <c r="AV50" s="9"/>
    </row>
    <row r="51" spans="20:48" x14ac:dyDescent="0.3">
      <c r="AC51" s="9"/>
      <c r="AV51" s="9"/>
    </row>
    <row r="52" spans="20:48" x14ac:dyDescent="0.3">
      <c r="AC52" s="9"/>
      <c r="AV52" s="9"/>
    </row>
    <row r="53" spans="20:48" x14ac:dyDescent="0.3">
      <c r="AC53" s="9"/>
      <c r="AV53" s="9"/>
    </row>
    <row r="54" spans="20:48" x14ac:dyDescent="0.3">
      <c r="AC54" s="9"/>
      <c r="AV54" s="9"/>
    </row>
    <row r="55" spans="20:48" x14ac:dyDescent="0.3">
      <c r="AC55" s="9"/>
      <c r="AV55" s="9"/>
    </row>
    <row r="56" spans="20:48" x14ac:dyDescent="0.3">
      <c r="AC56" s="9"/>
      <c r="AV56" s="9"/>
    </row>
    <row r="57" spans="20:48" x14ac:dyDescent="0.3">
      <c r="AC57" s="9"/>
      <c r="AV57" s="9"/>
    </row>
    <row r="58" spans="20:48" x14ac:dyDescent="0.3">
      <c r="AC58" s="9"/>
      <c r="AV58" s="9"/>
    </row>
    <row r="59" spans="20:48" x14ac:dyDescent="0.3">
      <c r="AC59" s="9"/>
      <c r="AV59" s="9"/>
    </row>
    <row r="60" spans="20:48" x14ac:dyDescent="0.3">
      <c r="AC60" s="9"/>
      <c r="AV60" s="9"/>
    </row>
    <row r="61" spans="20:48" x14ac:dyDescent="0.3">
      <c r="AC61" s="9"/>
      <c r="AV61" s="9"/>
    </row>
    <row r="62" spans="20:48" x14ac:dyDescent="0.3">
      <c r="AC62" s="9"/>
      <c r="AV62" s="9"/>
    </row>
    <row r="63" spans="20:48" x14ac:dyDescent="0.3">
      <c r="AC63" s="9"/>
      <c r="AV63" s="9"/>
    </row>
    <row r="64" spans="20:48" x14ac:dyDescent="0.3">
      <c r="AC64" s="9"/>
      <c r="AV64" s="9"/>
    </row>
    <row r="65" spans="29:48" x14ac:dyDescent="0.3">
      <c r="AC65" s="9"/>
      <c r="AV65" s="9"/>
    </row>
    <row r="66" spans="29:48" x14ac:dyDescent="0.3">
      <c r="AC66" s="9"/>
      <c r="AV66" s="9"/>
    </row>
    <row r="67" spans="29:48" x14ac:dyDescent="0.3">
      <c r="AC67" s="9"/>
      <c r="AV67" s="9"/>
    </row>
    <row r="68" spans="29:48" x14ac:dyDescent="0.3">
      <c r="AC68" s="9"/>
      <c r="AV68" s="9"/>
    </row>
    <row r="69" spans="29:48" x14ac:dyDescent="0.3">
      <c r="AC69" s="9"/>
      <c r="AV69" s="9"/>
    </row>
    <row r="70" spans="29:48" x14ac:dyDescent="0.3">
      <c r="AC70" s="9"/>
      <c r="AV70" s="9"/>
    </row>
    <row r="71" spans="29:48" x14ac:dyDescent="0.3">
      <c r="AC71" s="9"/>
      <c r="AV71" s="9"/>
    </row>
    <row r="72" spans="29:48" x14ac:dyDescent="0.3">
      <c r="AC72" s="9"/>
      <c r="AV72" s="9"/>
    </row>
    <row r="73" spans="29:48" x14ac:dyDescent="0.3">
      <c r="AC73" s="9"/>
      <c r="AV73" s="9"/>
    </row>
    <row r="74" spans="29:48" x14ac:dyDescent="0.3">
      <c r="AC74" s="9"/>
      <c r="AV74" s="9"/>
    </row>
    <row r="75" spans="29:48" x14ac:dyDescent="0.3">
      <c r="AC75" s="9"/>
      <c r="AV75" s="9"/>
    </row>
    <row r="76" spans="29:48" x14ac:dyDescent="0.3">
      <c r="AC76" s="9"/>
      <c r="AV76" s="9"/>
    </row>
    <row r="77" spans="29:48" x14ac:dyDescent="0.3">
      <c r="AC77" s="9"/>
      <c r="AV77" s="9"/>
    </row>
    <row r="78" spans="29:48" x14ac:dyDescent="0.3">
      <c r="AC78" s="9"/>
      <c r="AV78" s="9"/>
    </row>
    <row r="79" spans="29:48" x14ac:dyDescent="0.3">
      <c r="AC79" s="9"/>
      <c r="AV79" s="9"/>
    </row>
    <row r="80" spans="29:48" x14ac:dyDescent="0.3">
      <c r="AC80" s="9"/>
      <c r="AV80" s="9"/>
    </row>
    <row r="81" spans="29:48" x14ac:dyDescent="0.3">
      <c r="AC81" s="9"/>
      <c r="AV81" s="9"/>
    </row>
    <row r="82" spans="29:48" x14ac:dyDescent="0.3">
      <c r="AC82" s="9"/>
      <c r="AV82" s="9"/>
    </row>
    <row r="83" spans="29:48" x14ac:dyDescent="0.3">
      <c r="AC83" s="9"/>
      <c r="AV83" s="9"/>
    </row>
    <row r="84" spans="29:48" x14ac:dyDescent="0.3">
      <c r="AC84" s="9"/>
      <c r="AV84" s="9"/>
    </row>
    <row r="85" spans="29:48" x14ac:dyDescent="0.3">
      <c r="AC85" s="9"/>
      <c r="AV85" s="9"/>
    </row>
    <row r="86" spans="29:48" x14ac:dyDescent="0.3">
      <c r="AC86" s="9"/>
      <c r="AV86" s="9"/>
    </row>
    <row r="87" spans="29:48" x14ac:dyDescent="0.3">
      <c r="AC87" s="9"/>
      <c r="AV87" s="9"/>
    </row>
    <row r="88" spans="29:48" x14ac:dyDescent="0.3">
      <c r="AC88" s="9"/>
      <c r="AV88" s="9"/>
    </row>
    <row r="89" spans="29:48" x14ac:dyDescent="0.3">
      <c r="AC89" s="9"/>
      <c r="AV89" s="9"/>
    </row>
    <row r="90" spans="29:48" x14ac:dyDescent="0.3">
      <c r="AC90" s="9"/>
      <c r="AV90" s="9"/>
    </row>
    <row r="91" spans="29:48" x14ac:dyDescent="0.3">
      <c r="AC91" s="9"/>
      <c r="AV91" s="9"/>
    </row>
    <row r="92" spans="29:48" x14ac:dyDescent="0.3">
      <c r="AC92" s="9"/>
      <c r="AV92" s="9"/>
    </row>
    <row r="93" spans="29:48" x14ac:dyDescent="0.3">
      <c r="AC93" s="9"/>
      <c r="AV93" s="9"/>
    </row>
    <row r="94" spans="29:48" x14ac:dyDescent="0.3">
      <c r="AC94" s="9"/>
      <c r="AV94" s="9"/>
    </row>
    <row r="95" spans="29:48" x14ac:dyDescent="0.3">
      <c r="AC95" s="9"/>
      <c r="AV95" s="9"/>
    </row>
    <row r="96" spans="29:48" x14ac:dyDescent="0.3">
      <c r="AC96" s="9"/>
      <c r="AV96" s="9"/>
    </row>
    <row r="97" spans="29:48" x14ac:dyDescent="0.3">
      <c r="AC97" s="9"/>
      <c r="AV97" s="9"/>
    </row>
    <row r="98" spans="29:48" x14ac:dyDescent="0.3">
      <c r="AC98" s="9"/>
      <c r="AV98" s="9"/>
    </row>
    <row r="99" spans="29:48" x14ac:dyDescent="0.3">
      <c r="AC99"/>
      <c r="AV99" s="9"/>
    </row>
    <row r="100" spans="29:48" x14ac:dyDescent="0.3">
      <c r="AC100"/>
      <c r="AV100" s="9"/>
    </row>
    <row r="101" spans="29:48" x14ac:dyDescent="0.3">
      <c r="AC101"/>
      <c r="AV101" s="9"/>
    </row>
    <row r="102" spans="29:48" x14ac:dyDescent="0.3">
      <c r="AC102"/>
      <c r="AV102" s="9"/>
    </row>
    <row r="103" spans="29:48" x14ac:dyDescent="0.3">
      <c r="AC103"/>
      <c r="AV103" s="9"/>
    </row>
    <row r="104" spans="29:48" x14ac:dyDescent="0.3">
      <c r="AC104"/>
      <c r="AV104" s="9"/>
    </row>
    <row r="105" spans="29:48" x14ac:dyDescent="0.3">
      <c r="AC105"/>
      <c r="AV105" s="9"/>
    </row>
    <row r="106" spans="29:48" x14ac:dyDescent="0.3">
      <c r="AC106"/>
      <c r="AV106" s="9"/>
    </row>
    <row r="107" spans="29:48" x14ac:dyDescent="0.3">
      <c r="AC107"/>
      <c r="AV107" s="9"/>
    </row>
    <row r="108" spans="29:48" x14ac:dyDescent="0.3">
      <c r="AC108"/>
      <c r="AV108" s="9"/>
    </row>
    <row r="109" spans="29:48" x14ac:dyDescent="0.3">
      <c r="AC109"/>
      <c r="AV109" s="9"/>
    </row>
    <row r="110" spans="29:48" x14ac:dyDescent="0.3">
      <c r="AC110"/>
      <c r="AV110" s="9"/>
    </row>
    <row r="111" spans="29:48" x14ac:dyDescent="0.3">
      <c r="AC111"/>
      <c r="AV111" s="9"/>
    </row>
    <row r="112" spans="29:48" x14ac:dyDescent="0.3">
      <c r="AC112"/>
      <c r="AV112" s="9"/>
    </row>
    <row r="113" spans="29:48" x14ac:dyDescent="0.3">
      <c r="AC113"/>
      <c r="AV113" s="9"/>
    </row>
    <row r="114" spans="29:48" x14ac:dyDescent="0.3">
      <c r="AC114"/>
      <c r="AV114" s="9"/>
    </row>
    <row r="115" spans="29:48" x14ac:dyDescent="0.3">
      <c r="AC115"/>
      <c r="AV115" s="9"/>
    </row>
    <row r="116" spans="29:48" x14ac:dyDescent="0.3">
      <c r="AC116"/>
      <c r="AV116" s="9"/>
    </row>
    <row r="117" spans="29:48" x14ac:dyDescent="0.3">
      <c r="AV117" s="9"/>
    </row>
    <row r="118" spans="29:48" x14ac:dyDescent="0.3">
      <c r="AV118" s="9"/>
    </row>
    <row r="119" spans="29:48" x14ac:dyDescent="0.3">
      <c r="AV119" s="9"/>
    </row>
    <row r="120" spans="29:48" x14ac:dyDescent="0.3">
      <c r="AV120" s="9"/>
    </row>
    <row r="121" spans="29:48" x14ac:dyDescent="0.3">
      <c r="AV121" s="9"/>
    </row>
    <row r="122" spans="29:48" x14ac:dyDescent="0.3">
      <c r="AV122" s="9"/>
    </row>
    <row r="123" spans="29:48" x14ac:dyDescent="0.3">
      <c r="AV123" s="9"/>
    </row>
    <row r="124" spans="29:48" x14ac:dyDescent="0.3">
      <c r="AV124" s="9"/>
    </row>
    <row r="125" spans="29:48" x14ac:dyDescent="0.3">
      <c r="AV125" s="9"/>
    </row>
    <row r="126" spans="29:48" x14ac:dyDescent="0.3">
      <c r="AV126" s="9"/>
    </row>
    <row r="127" spans="29:48" x14ac:dyDescent="0.3">
      <c r="AV127" s="9"/>
    </row>
    <row r="128" spans="29:48" x14ac:dyDescent="0.3">
      <c r="AV128" s="9"/>
    </row>
    <row r="129" spans="48:48" x14ac:dyDescent="0.3">
      <c r="AV129" s="9"/>
    </row>
    <row r="130" spans="48:48" x14ac:dyDescent="0.3">
      <c r="AV130" s="9"/>
    </row>
    <row r="131" spans="48:48" x14ac:dyDescent="0.3">
      <c r="AV131" s="9"/>
    </row>
    <row r="132" spans="48:48" x14ac:dyDescent="0.3">
      <c r="AV132" s="9"/>
    </row>
    <row r="133" spans="48:48" x14ac:dyDescent="0.3">
      <c r="AV133" s="9"/>
    </row>
    <row r="134" spans="48:48" x14ac:dyDescent="0.3">
      <c r="AV134" s="9"/>
    </row>
    <row r="135" spans="48:48" x14ac:dyDescent="0.3">
      <c r="AV135" s="9"/>
    </row>
    <row r="136" spans="48:48" x14ac:dyDescent="0.3">
      <c r="AV136" s="9"/>
    </row>
    <row r="137" spans="48:48" x14ac:dyDescent="0.3">
      <c r="AV137" s="9"/>
    </row>
    <row r="138" spans="48:48" x14ac:dyDescent="0.3">
      <c r="AV138" s="9"/>
    </row>
    <row r="139" spans="48:48" x14ac:dyDescent="0.3">
      <c r="AV139" s="9"/>
    </row>
    <row r="140" spans="48:48" x14ac:dyDescent="0.3">
      <c r="AV140" s="9"/>
    </row>
    <row r="141" spans="48:48" x14ac:dyDescent="0.3">
      <c r="AV141" s="9"/>
    </row>
    <row r="142" spans="48:48" x14ac:dyDescent="0.3">
      <c r="AV142" s="9"/>
    </row>
    <row r="143" spans="48:48" x14ac:dyDescent="0.3">
      <c r="AV143" s="9"/>
    </row>
    <row r="144" spans="48:48" x14ac:dyDescent="0.3">
      <c r="AV144" s="9"/>
    </row>
    <row r="145" spans="48:48" x14ac:dyDescent="0.3">
      <c r="AV145" s="9"/>
    </row>
    <row r="146" spans="48:48" x14ac:dyDescent="0.3">
      <c r="AV146" s="9"/>
    </row>
    <row r="147" spans="48:48" x14ac:dyDescent="0.3">
      <c r="AV147" s="9"/>
    </row>
    <row r="148" spans="48:48" x14ac:dyDescent="0.3">
      <c r="AV148" s="9"/>
    </row>
    <row r="149" spans="48:48" x14ac:dyDescent="0.3">
      <c r="AV149" s="9"/>
    </row>
    <row r="150" spans="48:48" x14ac:dyDescent="0.3">
      <c r="AV150" s="9"/>
    </row>
    <row r="151" spans="48:48" x14ac:dyDescent="0.3">
      <c r="AV151" s="9"/>
    </row>
    <row r="152" spans="48:48" x14ac:dyDescent="0.3">
      <c r="AV152" s="9"/>
    </row>
    <row r="153" spans="48:48" x14ac:dyDescent="0.3">
      <c r="AV153" s="9"/>
    </row>
    <row r="154" spans="48:48" x14ac:dyDescent="0.3">
      <c r="AV154" s="9"/>
    </row>
    <row r="155" spans="48:48" x14ac:dyDescent="0.3">
      <c r="AV155" s="9"/>
    </row>
    <row r="156" spans="48:48" x14ac:dyDescent="0.3">
      <c r="AV156" s="9"/>
    </row>
    <row r="157" spans="48:48" x14ac:dyDescent="0.3">
      <c r="AV157" s="9"/>
    </row>
    <row r="158" spans="48:48" x14ac:dyDescent="0.3">
      <c r="AV158" s="9"/>
    </row>
    <row r="159" spans="48:48" x14ac:dyDescent="0.3">
      <c r="AV159" s="9"/>
    </row>
    <row r="160" spans="48:48" x14ac:dyDescent="0.3">
      <c r="AV160" s="9"/>
    </row>
    <row r="161" spans="48:48" x14ac:dyDescent="0.3">
      <c r="AV161" s="9"/>
    </row>
    <row r="162" spans="48:48" x14ac:dyDescent="0.3">
      <c r="AV162" s="9"/>
    </row>
    <row r="163" spans="48:48" x14ac:dyDescent="0.3">
      <c r="AV163" s="9"/>
    </row>
    <row r="164" spans="48:48" x14ac:dyDescent="0.3">
      <c r="AV164" s="9"/>
    </row>
    <row r="165" spans="48:48" x14ac:dyDescent="0.3">
      <c r="AV165" s="9"/>
    </row>
    <row r="166" spans="48:48" x14ac:dyDescent="0.3">
      <c r="AV166" s="9"/>
    </row>
    <row r="167" spans="48:48" x14ac:dyDescent="0.3">
      <c r="AV167" s="9"/>
    </row>
    <row r="168" spans="48:48" x14ac:dyDescent="0.3">
      <c r="AV168" s="9"/>
    </row>
    <row r="169" spans="48:48" x14ac:dyDescent="0.3">
      <c r="AV169" s="9"/>
    </row>
    <row r="170" spans="48:48" x14ac:dyDescent="0.3">
      <c r="AV170" s="9"/>
    </row>
    <row r="171" spans="48:48" x14ac:dyDescent="0.3">
      <c r="AV171" s="9"/>
    </row>
    <row r="172" spans="48:48" x14ac:dyDescent="0.3">
      <c r="AV172" s="9"/>
    </row>
    <row r="173" spans="48:48" x14ac:dyDescent="0.3">
      <c r="AV173" s="9"/>
    </row>
    <row r="174" spans="48:48" x14ac:dyDescent="0.3">
      <c r="AV174" s="9"/>
    </row>
    <row r="175" spans="48:48" x14ac:dyDescent="0.3">
      <c r="AV175" s="9"/>
    </row>
    <row r="176" spans="48:48" x14ac:dyDescent="0.3">
      <c r="AV176" s="9"/>
    </row>
    <row r="177" spans="48:48" x14ac:dyDescent="0.3">
      <c r="AV177" s="9"/>
    </row>
    <row r="178" spans="48:48" x14ac:dyDescent="0.3">
      <c r="AV178" s="9"/>
    </row>
    <row r="179" spans="48:48" x14ac:dyDescent="0.3">
      <c r="AV179" s="9"/>
    </row>
    <row r="180" spans="48:48" x14ac:dyDescent="0.3">
      <c r="AV180" s="9"/>
    </row>
    <row r="181" spans="48:48" x14ac:dyDescent="0.3">
      <c r="AV181" s="9"/>
    </row>
    <row r="182" spans="48:48" x14ac:dyDescent="0.3">
      <c r="AV182" s="9"/>
    </row>
    <row r="183" spans="48:48" x14ac:dyDescent="0.3">
      <c r="AV183" s="9"/>
    </row>
    <row r="184" spans="48:48" x14ac:dyDescent="0.3">
      <c r="AV184" s="9"/>
    </row>
    <row r="185" spans="48:48" x14ac:dyDescent="0.3">
      <c r="AV185" s="9"/>
    </row>
    <row r="186" spans="48:48" x14ac:dyDescent="0.3">
      <c r="AV186" s="9"/>
    </row>
    <row r="187" spans="48:48" x14ac:dyDescent="0.3">
      <c r="AV187" s="9"/>
    </row>
    <row r="188" spans="48:48" x14ac:dyDescent="0.3">
      <c r="AV188" s="9"/>
    </row>
    <row r="189" spans="48:48" x14ac:dyDescent="0.3">
      <c r="AV189" s="9"/>
    </row>
    <row r="190" spans="48:48" x14ac:dyDescent="0.3">
      <c r="AV190" s="9"/>
    </row>
    <row r="191" spans="48:48" x14ac:dyDescent="0.3">
      <c r="AV191" s="9"/>
    </row>
    <row r="192" spans="48:48" x14ac:dyDescent="0.3">
      <c r="AV192" s="9"/>
    </row>
    <row r="193" spans="48:48" x14ac:dyDescent="0.3">
      <c r="AV193" s="9"/>
    </row>
    <row r="194" spans="48:48" x14ac:dyDescent="0.3">
      <c r="AV194" s="9"/>
    </row>
    <row r="195" spans="48:48" x14ac:dyDescent="0.3">
      <c r="AV195" s="9"/>
    </row>
    <row r="196" spans="48:48" x14ac:dyDescent="0.3">
      <c r="AV196" s="9"/>
    </row>
    <row r="197" spans="48:48" x14ac:dyDescent="0.3">
      <c r="AV197" s="9"/>
    </row>
    <row r="198" spans="48:48" x14ac:dyDescent="0.3">
      <c r="AV198" s="9"/>
    </row>
    <row r="199" spans="48:48" x14ac:dyDescent="0.3">
      <c r="AV199" s="9"/>
    </row>
    <row r="200" spans="48:48" x14ac:dyDescent="0.3">
      <c r="AV200" s="9"/>
    </row>
    <row r="201" spans="48:48" x14ac:dyDescent="0.3">
      <c r="AV201" s="9"/>
    </row>
    <row r="202" spans="48:48" x14ac:dyDescent="0.3">
      <c r="AV202" s="9"/>
    </row>
    <row r="203" spans="48:48" x14ac:dyDescent="0.3">
      <c r="AV203" s="9"/>
    </row>
    <row r="204" spans="48:48" x14ac:dyDescent="0.3">
      <c r="AV204" s="9"/>
    </row>
    <row r="205" spans="48:48" x14ac:dyDescent="0.3">
      <c r="AV205" s="9"/>
    </row>
    <row r="206" spans="48:48" x14ac:dyDescent="0.3">
      <c r="AV206" s="9"/>
    </row>
    <row r="207" spans="48:48" x14ac:dyDescent="0.3">
      <c r="AV207" s="9"/>
    </row>
    <row r="208" spans="48:48" x14ac:dyDescent="0.3">
      <c r="AV208" s="9"/>
    </row>
    <row r="209" spans="48:48" x14ac:dyDescent="0.3">
      <c r="AV209" s="9"/>
    </row>
    <row r="210" spans="48:48" x14ac:dyDescent="0.3">
      <c r="AV210" s="9"/>
    </row>
    <row r="211" spans="48:48" x14ac:dyDescent="0.3">
      <c r="AV211" s="9"/>
    </row>
    <row r="212" spans="48:48" x14ac:dyDescent="0.3">
      <c r="AV212" s="9"/>
    </row>
    <row r="213" spans="48:48" x14ac:dyDescent="0.3">
      <c r="AV213" s="9"/>
    </row>
    <row r="214" spans="48:48" x14ac:dyDescent="0.3">
      <c r="AV214" s="9"/>
    </row>
    <row r="215" spans="48:48" x14ac:dyDescent="0.3">
      <c r="AV215" s="9"/>
    </row>
    <row r="216" spans="48:48" x14ac:dyDescent="0.3">
      <c r="AV216" s="9"/>
    </row>
    <row r="217" spans="48:48" x14ac:dyDescent="0.3">
      <c r="AV217" s="9"/>
    </row>
    <row r="218" spans="48:48" x14ac:dyDescent="0.3">
      <c r="AV218" s="9"/>
    </row>
    <row r="219" spans="48:48" x14ac:dyDescent="0.3">
      <c r="AV219" s="9"/>
    </row>
    <row r="220" spans="48:48" x14ac:dyDescent="0.3">
      <c r="AV220" s="9"/>
    </row>
    <row r="221" spans="48:48" x14ac:dyDescent="0.3">
      <c r="AV221" s="9"/>
    </row>
    <row r="222" spans="48:48" x14ac:dyDescent="0.3">
      <c r="AV222" s="9"/>
    </row>
    <row r="223" spans="48:48" x14ac:dyDescent="0.3">
      <c r="AV223" s="9"/>
    </row>
    <row r="224" spans="48:48" x14ac:dyDescent="0.3">
      <c r="AV224" s="9"/>
    </row>
    <row r="225" spans="48:48" x14ac:dyDescent="0.3">
      <c r="AV225" s="9"/>
    </row>
    <row r="226" spans="48:48" x14ac:dyDescent="0.3">
      <c r="AV226" s="9"/>
    </row>
    <row r="227" spans="48:48" x14ac:dyDescent="0.3">
      <c r="AV227" s="9"/>
    </row>
    <row r="228" spans="48:48" x14ac:dyDescent="0.3">
      <c r="AV228" s="9"/>
    </row>
    <row r="229" spans="48:48" x14ac:dyDescent="0.3">
      <c r="AV229" s="9"/>
    </row>
    <row r="230" spans="48:48" x14ac:dyDescent="0.3">
      <c r="AV230" s="9"/>
    </row>
    <row r="231" spans="48:48" x14ac:dyDescent="0.3">
      <c r="AV231" s="9"/>
    </row>
    <row r="232" spans="48:48" x14ac:dyDescent="0.3">
      <c r="AV232" s="9"/>
    </row>
    <row r="233" spans="48:48" x14ac:dyDescent="0.3">
      <c r="AV233" s="9"/>
    </row>
    <row r="234" spans="48:48" x14ac:dyDescent="0.3">
      <c r="AV234" s="9"/>
    </row>
    <row r="235" spans="48:48" x14ac:dyDescent="0.3">
      <c r="AV235" s="9"/>
    </row>
    <row r="236" spans="48:48" x14ac:dyDescent="0.3">
      <c r="AV236" s="9"/>
    </row>
    <row r="237" spans="48:48" x14ac:dyDescent="0.3">
      <c r="AV237" s="9"/>
    </row>
    <row r="238" spans="48:48" x14ac:dyDescent="0.3">
      <c r="AV238" s="9"/>
    </row>
    <row r="239" spans="48:48" x14ac:dyDescent="0.3">
      <c r="AV239" s="9"/>
    </row>
    <row r="240" spans="48:48" x14ac:dyDescent="0.3">
      <c r="AV240" s="9"/>
    </row>
    <row r="241" spans="48:48" x14ac:dyDescent="0.3">
      <c r="AV241" s="9"/>
    </row>
    <row r="242" spans="48:48" x14ac:dyDescent="0.3">
      <c r="AV242" s="9"/>
    </row>
    <row r="243" spans="48:48" x14ac:dyDescent="0.3">
      <c r="AV243" s="9"/>
    </row>
    <row r="244" spans="48:48" x14ac:dyDescent="0.3">
      <c r="AV244" s="9"/>
    </row>
    <row r="245" spans="48:48" x14ac:dyDescent="0.3">
      <c r="AV245" s="9"/>
    </row>
    <row r="246" spans="48:48" x14ac:dyDescent="0.3">
      <c r="AV246" s="9"/>
    </row>
    <row r="247" spans="48:48" x14ac:dyDescent="0.3">
      <c r="AV247" s="9"/>
    </row>
    <row r="248" spans="48:48" x14ac:dyDescent="0.3">
      <c r="AV248" s="9"/>
    </row>
    <row r="249" spans="48:48" x14ac:dyDescent="0.3">
      <c r="AV249" s="9"/>
    </row>
    <row r="250" spans="48:48" x14ac:dyDescent="0.3">
      <c r="AV250" s="9"/>
    </row>
    <row r="251" spans="48:48" x14ac:dyDescent="0.3">
      <c r="AV251" s="9"/>
    </row>
    <row r="252" spans="48:48" x14ac:dyDescent="0.3">
      <c r="AV252" s="9"/>
    </row>
    <row r="253" spans="48:48" x14ac:dyDescent="0.3">
      <c r="AV253" s="9"/>
    </row>
    <row r="254" spans="48:48" x14ac:dyDescent="0.3">
      <c r="AV254" s="9"/>
    </row>
    <row r="255" spans="48:48" x14ac:dyDescent="0.3">
      <c r="AV255" s="9"/>
    </row>
    <row r="256" spans="48:48" x14ac:dyDescent="0.3">
      <c r="AV256" s="9"/>
    </row>
    <row r="257" spans="48:48" x14ac:dyDescent="0.3">
      <c r="AV257" s="9"/>
    </row>
    <row r="258" spans="48:48" x14ac:dyDescent="0.3">
      <c r="AV258" s="9"/>
    </row>
    <row r="259" spans="48:48" x14ac:dyDescent="0.3">
      <c r="AV259" s="9"/>
    </row>
    <row r="260" spans="48:48" x14ac:dyDescent="0.3">
      <c r="AV260" s="9"/>
    </row>
    <row r="261" spans="48:48" x14ac:dyDescent="0.3">
      <c r="AV261" s="9"/>
    </row>
    <row r="262" spans="48:48" x14ac:dyDescent="0.3">
      <c r="AV262" s="9"/>
    </row>
    <row r="263" spans="48:48" x14ac:dyDescent="0.3">
      <c r="AV263" s="9"/>
    </row>
    <row r="264" spans="48:48" x14ac:dyDescent="0.3">
      <c r="AV264" s="9"/>
    </row>
    <row r="265" spans="48:48" x14ac:dyDescent="0.3">
      <c r="AV265" s="9"/>
    </row>
    <row r="266" spans="48:48" x14ac:dyDescent="0.3">
      <c r="AV266" s="9"/>
    </row>
    <row r="267" spans="48:48" x14ac:dyDescent="0.3">
      <c r="AV267" s="9"/>
    </row>
    <row r="268" spans="48:48" x14ac:dyDescent="0.3">
      <c r="AV268" s="9"/>
    </row>
    <row r="269" spans="48:48" x14ac:dyDescent="0.3">
      <c r="AV269" s="9"/>
    </row>
    <row r="270" spans="48:48" x14ac:dyDescent="0.3">
      <c r="AV270" s="9"/>
    </row>
    <row r="271" spans="48:48" x14ac:dyDescent="0.3">
      <c r="AV271" s="9"/>
    </row>
    <row r="272" spans="48:48" x14ac:dyDescent="0.3">
      <c r="AV272" s="9"/>
    </row>
    <row r="273" spans="48:48" x14ac:dyDescent="0.3">
      <c r="AV273" s="9"/>
    </row>
    <row r="274" spans="48:48" x14ac:dyDescent="0.3">
      <c r="AV274" s="9"/>
    </row>
    <row r="275" spans="48:48" x14ac:dyDescent="0.3">
      <c r="AV275" s="9"/>
    </row>
    <row r="276" spans="48:48" x14ac:dyDescent="0.3">
      <c r="AV276" s="9"/>
    </row>
    <row r="277" spans="48:48" x14ac:dyDescent="0.3">
      <c r="AV277" s="9"/>
    </row>
    <row r="278" spans="48:48" x14ac:dyDescent="0.3">
      <c r="AV278" s="9"/>
    </row>
    <row r="279" spans="48:48" x14ac:dyDescent="0.3">
      <c r="AV279" s="9"/>
    </row>
    <row r="280" spans="48:48" x14ac:dyDescent="0.3">
      <c r="AV280" s="9"/>
    </row>
    <row r="281" spans="48:48" x14ac:dyDescent="0.3">
      <c r="AV281" s="9"/>
    </row>
    <row r="282" spans="48:48" x14ac:dyDescent="0.3">
      <c r="AV282" s="9"/>
    </row>
    <row r="283" spans="48:48" x14ac:dyDescent="0.3">
      <c r="AV283" s="9"/>
    </row>
    <row r="284" spans="48:48" x14ac:dyDescent="0.3">
      <c r="AV284" s="9"/>
    </row>
    <row r="285" spans="48:48" x14ac:dyDescent="0.3">
      <c r="AV285" s="9"/>
    </row>
    <row r="286" spans="48:48" x14ac:dyDescent="0.3">
      <c r="AV286" s="9"/>
    </row>
    <row r="287" spans="48:48" x14ac:dyDescent="0.3">
      <c r="AV287" s="9"/>
    </row>
    <row r="288" spans="48:48" x14ac:dyDescent="0.3">
      <c r="AV288" s="9"/>
    </row>
    <row r="289" spans="48:48" x14ac:dyDescent="0.3">
      <c r="AV289" s="9"/>
    </row>
    <row r="290" spans="48:48" x14ac:dyDescent="0.3">
      <c r="AV290" s="9"/>
    </row>
    <row r="291" spans="48:48" x14ac:dyDescent="0.3">
      <c r="AV291" s="9"/>
    </row>
    <row r="292" spans="48:48" x14ac:dyDescent="0.3">
      <c r="AV292" s="9"/>
    </row>
    <row r="293" spans="48:48" x14ac:dyDescent="0.3">
      <c r="AV293" s="9"/>
    </row>
    <row r="294" spans="48:48" x14ac:dyDescent="0.3">
      <c r="AV294" s="9"/>
    </row>
    <row r="295" spans="48:48" x14ac:dyDescent="0.3">
      <c r="AV295" s="9"/>
    </row>
    <row r="296" spans="48:48" x14ac:dyDescent="0.3">
      <c r="AV296" s="9"/>
    </row>
    <row r="297" spans="48:48" x14ac:dyDescent="0.3">
      <c r="AV297" s="9"/>
    </row>
    <row r="298" spans="48:48" x14ac:dyDescent="0.3">
      <c r="AV298" s="9"/>
    </row>
    <row r="299" spans="48:48" x14ac:dyDescent="0.3">
      <c r="AV299" s="9"/>
    </row>
    <row r="300" spans="48:48" x14ac:dyDescent="0.3">
      <c r="AV300" s="9"/>
    </row>
    <row r="301" spans="48:48" x14ac:dyDescent="0.3">
      <c r="AV301" s="9"/>
    </row>
    <row r="302" spans="48:48" x14ac:dyDescent="0.3">
      <c r="AV302" s="9"/>
    </row>
    <row r="303" spans="48:48" x14ac:dyDescent="0.3">
      <c r="AV303" s="9"/>
    </row>
    <row r="304" spans="48:48" x14ac:dyDescent="0.3">
      <c r="AV304" s="9"/>
    </row>
    <row r="305" spans="48:48" x14ac:dyDescent="0.3">
      <c r="AV305" s="9"/>
    </row>
    <row r="306" spans="48:48" x14ac:dyDescent="0.3">
      <c r="AV306" s="9"/>
    </row>
    <row r="307" spans="48:48" x14ac:dyDescent="0.3">
      <c r="AV307" s="9"/>
    </row>
    <row r="308" spans="48:48" x14ac:dyDescent="0.3">
      <c r="AV308" s="9"/>
    </row>
    <row r="309" spans="48:48" x14ac:dyDescent="0.3">
      <c r="AV309" s="9"/>
    </row>
    <row r="310" spans="48:48" x14ac:dyDescent="0.3">
      <c r="AV310" s="9"/>
    </row>
    <row r="311" spans="48:48" x14ac:dyDescent="0.3">
      <c r="AV311" s="9"/>
    </row>
    <row r="312" spans="48:48" x14ac:dyDescent="0.3">
      <c r="AV312" s="9"/>
    </row>
    <row r="313" spans="48:48" x14ac:dyDescent="0.3">
      <c r="AV313" s="9"/>
    </row>
    <row r="314" spans="48:48" x14ac:dyDescent="0.3">
      <c r="AV314" s="9"/>
    </row>
    <row r="315" spans="48:48" x14ac:dyDescent="0.3">
      <c r="AV315" s="9"/>
    </row>
    <row r="316" spans="48:48" x14ac:dyDescent="0.3">
      <c r="AV316" s="9"/>
    </row>
    <row r="317" spans="48:48" x14ac:dyDescent="0.3">
      <c r="AV317" s="9"/>
    </row>
    <row r="318" spans="48:48" x14ac:dyDescent="0.3">
      <c r="AV318" s="9"/>
    </row>
    <row r="319" spans="48:48" x14ac:dyDescent="0.3">
      <c r="AV319" s="9"/>
    </row>
    <row r="320" spans="48:48" x14ac:dyDescent="0.3">
      <c r="AV320" s="9"/>
    </row>
    <row r="321" spans="48:48" x14ac:dyDescent="0.3">
      <c r="AV321" s="9"/>
    </row>
    <row r="322" spans="48:48" x14ac:dyDescent="0.3">
      <c r="AV322" s="9"/>
    </row>
    <row r="323" spans="48:48" x14ac:dyDescent="0.3">
      <c r="AV323" s="9"/>
    </row>
    <row r="324" spans="48:48" x14ac:dyDescent="0.3">
      <c r="AV324" s="9"/>
    </row>
    <row r="325" spans="48:48" x14ac:dyDescent="0.3">
      <c r="AV325" s="9"/>
    </row>
    <row r="326" spans="48:48" x14ac:dyDescent="0.3">
      <c r="AV326" s="9"/>
    </row>
    <row r="327" spans="48:48" x14ac:dyDescent="0.3">
      <c r="AV327" s="9"/>
    </row>
    <row r="328" spans="48:48" x14ac:dyDescent="0.3">
      <c r="AV328" s="9"/>
    </row>
    <row r="329" spans="48:48" x14ac:dyDescent="0.3">
      <c r="AV329" s="9"/>
    </row>
    <row r="330" spans="48:48" x14ac:dyDescent="0.3">
      <c r="AV330" s="9"/>
    </row>
    <row r="331" spans="48:48" x14ac:dyDescent="0.3">
      <c r="AV331" s="9"/>
    </row>
    <row r="332" spans="48:48" x14ac:dyDescent="0.3">
      <c r="AV332" s="9"/>
    </row>
    <row r="333" spans="48:48" x14ac:dyDescent="0.3">
      <c r="AV333" s="9"/>
    </row>
    <row r="334" spans="48:48" x14ac:dyDescent="0.3">
      <c r="AV334" s="9"/>
    </row>
    <row r="335" spans="48:48" x14ac:dyDescent="0.3">
      <c r="AV335" s="9"/>
    </row>
    <row r="336" spans="48:48" x14ac:dyDescent="0.3">
      <c r="AV336" s="9"/>
    </row>
    <row r="337" spans="48:48" x14ac:dyDescent="0.3">
      <c r="AV337" s="9"/>
    </row>
    <row r="338" spans="48:48" x14ac:dyDescent="0.3">
      <c r="AV338" s="9"/>
    </row>
    <row r="339" spans="48:48" x14ac:dyDescent="0.3">
      <c r="AV339" s="9"/>
    </row>
    <row r="340" spans="48:48" x14ac:dyDescent="0.3">
      <c r="AV340" s="9"/>
    </row>
    <row r="341" spans="48:48" x14ac:dyDescent="0.3">
      <c r="AV341" s="9"/>
    </row>
    <row r="342" spans="48:48" x14ac:dyDescent="0.3">
      <c r="AV342" s="9"/>
    </row>
    <row r="343" spans="48:48" x14ac:dyDescent="0.3">
      <c r="AV343" s="9"/>
    </row>
    <row r="344" spans="48:48" x14ac:dyDescent="0.3">
      <c r="AV344" s="9"/>
    </row>
    <row r="345" spans="48:48" x14ac:dyDescent="0.3">
      <c r="AV345" s="9"/>
    </row>
    <row r="346" spans="48:48" x14ac:dyDescent="0.3">
      <c r="AV346" s="9"/>
    </row>
    <row r="347" spans="48:48" x14ac:dyDescent="0.3">
      <c r="AV347" s="9"/>
    </row>
    <row r="348" spans="48:48" x14ac:dyDescent="0.3">
      <c r="AV348" s="9"/>
    </row>
    <row r="349" spans="48:48" x14ac:dyDescent="0.3">
      <c r="AV349" s="9"/>
    </row>
    <row r="350" spans="48:48" x14ac:dyDescent="0.3">
      <c r="AV350" s="9"/>
    </row>
    <row r="351" spans="48:48" x14ac:dyDescent="0.3">
      <c r="AV351" s="9"/>
    </row>
    <row r="352" spans="48:48" x14ac:dyDescent="0.3">
      <c r="AV352" s="9"/>
    </row>
    <row r="353" spans="48:48" x14ac:dyDescent="0.3">
      <c r="AV353" s="9"/>
    </row>
    <row r="354" spans="48:48" x14ac:dyDescent="0.3">
      <c r="AV354" s="9"/>
    </row>
    <row r="355" spans="48:48" x14ac:dyDescent="0.3">
      <c r="AV355" s="9"/>
    </row>
    <row r="356" spans="48:48" x14ac:dyDescent="0.3">
      <c r="AV356" s="9"/>
    </row>
    <row r="357" spans="48:48" x14ac:dyDescent="0.3">
      <c r="AV357" s="9"/>
    </row>
    <row r="358" spans="48:48" x14ac:dyDescent="0.3">
      <c r="AV358" s="9"/>
    </row>
    <row r="359" spans="48:48" x14ac:dyDescent="0.3">
      <c r="AV359" s="9"/>
    </row>
    <row r="360" spans="48:48" x14ac:dyDescent="0.3">
      <c r="AV360" s="9"/>
    </row>
    <row r="361" spans="48:48" x14ac:dyDescent="0.3">
      <c r="AV361" s="9"/>
    </row>
    <row r="362" spans="48:48" x14ac:dyDescent="0.3">
      <c r="AV362" s="9"/>
    </row>
    <row r="363" spans="48:48" x14ac:dyDescent="0.3">
      <c r="AV363" s="9"/>
    </row>
    <row r="364" spans="48:48" x14ac:dyDescent="0.3">
      <c r="AV364" s="9"/>
    </row>
    <row r="365" spans="48:48" x14ac:dyDescent="0.3">
      <c r="AV365" s="9"/>
    </row>
    <row r="366" spans="48:48" x14ac:dyDescent="0.3">
      <c r="AV366" s="9"/>
    </row>
    <row r="367" spans="48:48" x14ac:dyDescent="0.3">
      <c r="AV367" s="9"/>
    </row>
    <row r="368" spans="48:48" x14ac:dyDescent="0.3">
      <c r="AV368" s="9"/>
    </row>
    <row r="369" spans="48:48" x14ac:dyDescent="0.3">
      <c r="AV369" s="9"/>
    </row>
    <row r="370" spans="48:48" x14ac:dyDescent="0.3">
      <c r="AV370" s="9"/>
    </row>
    <row r="371" spans="48:48" x14ac:dyDescent="0.3">
      <c r="AV371" s="9"/>
    </row>
    <row r="372" spans="48:48" x14ac:dyDescent="0.3">
      <c r="AV372" s="9"/>
    </row>
    <row r="373" spans="48:48" x14ac:dyDescent="0.3">
      <c r="AV373" s="9"/>
    </row>
    <row r="374" spans="48:48" x14ac:dyDescent="0.3">
      <c r="AV374" s="9"/>
    </row>
    <row r="375" spans="48:48" x14ac:dyDescent="0.3">
      <c r="AV375" s="9"/>
    </row>
    <row r="376" spans="48:48" x14ac:dyDescent="0.3">
      <c r="AV376" s="9"/>
    </row>
    <row r="377" spans="48:48" x14ac:dyDescent="0.3">
      <c r="AV377" s="9"/>
    </row>
    <row r="378" spans="48:48" x14ac:dyDescent="0.3">
      <c r="AV378" s="9"/>
    </row>
    <row r="379" spans="48:48" x14ac:dyDescent="0.3">
      <c r="AV379" s="9"/>
    </row>
    <row r="380" spans="48:48" x14ac:dyDescent="0.3">
      <c r="AV380" s="9"/>
    </row>
    <row r="381" spans="48:48" x14ac:dyDescent="0.3">
      <c r="AV381" s="9"/>
    </row>
    <row r="382" spans="48:48" x14ac:dyDescent="0.3">
      <c r="AV382" s="9"/>
    </row>
    <row r="383" spans="48:48" x14ac:dyDescent="0.3">
      <c r="AV383" s="9"/>
    </row>
    <row r="384" spans="48:48" x14ac:dyDescent="0.3">
      <c r="AV384" s="9"/>
    </row>
    <row r="385" spans="48:48" x14ac:dyDescent="0.3">
      <c r="AV385" s="9"/>
    </row>
    <row r="386" spans="48:48" x14ac:dyDescent="0.3">
      <c r="AV386" s="9"/>
    </row>
    <row r="387" spans="48:48" x14ac:dyDescent="0.3">
      <c r="AV387" s="9"/>
    </row>
    <row r="388" spans="48:48" x14ac:dyDescent="0.3">
      <c r="AV388" s="9"/>
    </row>
    <row r="389" spans="48:48" x14ac:dyDescent="0.3">
      <c r="AV389" s="9"/>
    </row>
    <row r="390" spans="48:48" x14ac:dyDescent="0.3">
      <c r="AV390" s="9"/>
    </row>
    <row r="391" spans="48:48" x14ac:dyDescent="0.3">
      <c r="AV391" s="9"/>
    </row>
    <row r="392" spans="48:48" x14ac:dyDescent="0.3">
      <c r="AV392" s="9"/>
    </row>
    <row r="393" spans="48:48" x14ac:dyDescent="0.3">
      <c r="AV393" s="9"/>
    </row>
    <row r="394" spans="48:48" x14ac:dyDescent="0.3">
      <c r="AV394" s="9"/>
    </row>
    <row r="395" spans="48:48" x14ac:dyDescent="0.3">
      <c r="AV395" s="9"/>
    </row>
    <row r="396" spans="48:48" x14ac:dyDescent="0.3">
      <c r="AV396" s="9"/>
    </row>
    <row r="397" spans="48:48" x14ac:dyDescent="0.3">
      <c r="AV397" s="9"/>
    </row>
    <row r="398" spans="48:48" x14ac:dyDescent="0.3">
      <c r="AV398" s="9"/>
    </row>
    <row r="399" spans="48:48" x14ac:dyDescent="0.3">
      <c r="AV399" s="9"/>
    </row>
    <row r="400" spans="48:48" x14ac:dyDescent="0.3">
      <c r="AV400" s="9"/>
    </row>
    <row r="401" spans="48:48" x14ac:dyDescent="0.3">
      <c r="AV401" s="9"/>
    </row>
    <row r="402" spans="48:48" x14ac:dyDescent="0.3">
      <c r="AV402" s="9"/>
    </row>
    <row r="403" spans="48:48" x14ac:dyDescent="0.3">
      <c r="AV403" s="9"/>
    </row>
    <row r="404" spans="48:48" x14ac:dyDescent="0.3">
      <c r="AV404" s="9"/>
    </row>
    <row r="405" spans="48:48" x14ac:dyDescent="0.3">
      <c r="AV405" s="9"/>
    </row>
    <row r="406" spans="48:48" x14ac:dyDescent="0.3">
      <c r="AV406" s="9"/>
    </row>
    <row r="407" spans="48:48" x14ac:dyDescent="0.3">
      <c r="AV407" s="9"/>
    </row>
    <row r="408" spans="48:48" x14ac:dyDescent="0.3">
      <c r="AV408" s="9"/>
    </row>
    <row r="409" spans="48:48" x14ac:dyDescent="0.3">
      <c r="AV409" s="9"/>
    </row>
    <row r="410" spans="48:48" x14ac:dyDescent="0.3">
      <c r="AV410" s="9"/>
    </row>
    <row r="411" spans="48:48" x14ac:dyDescent="0.3">
      <c r="AV411" s="9"/>
    </row>
    <row r="412" spans="48:48" x14ac:dyDescent="0.3">
      <c r="AV412" s="9"/>
    </row>
    <row r="413" spans="48:48" x14ac:dyDescent="0.3">
      <c r="AV413" s="9"/>
    </row>
    <row r="414" spans="48:48" x14ac:dyDescent="0.3">
      <c r="AV414" s="9"/>
    </row>
    <row r="415" spans="48:48" x14ac:dyDescent="0.3">
      <c r="AV415" s="9"/>
    </row>
    <row r="416" spans="48:48" x14ac:dyDescent="0.3">
      <c r="AV416" s="9"/>
    </row>
    <row r="417" spans="48:48" x14ac:dyDescent="0.3">
      <c r="AV417" s="9"/>
    </row>
    <row r="418" spans="48:48" x14ac:dyDescent="0.3">
      <c r="AV418" s="9"/>
    </row>
    <row r="419" spans="48:48" x14ac:dyDescent="0.3">
      <c r="AV419" s="9"/>
    </row>
    <row r="420" spans="48:48" x14ac:dyDescent="0.3">
      <c r="AV420" s="9"/>
    </row>
    <row r="421" spans="48:48" x14ac:dyDescent="0.3">
      <c r="AV421" s="9"/>
    </row>
    <row r="422" spans="48:48" x14ac:dyDescent="0.3">
      <c r="AV422" s="9"/>
    </row>
    <row r="423" spans="48:48" x14ac:dyDescent="0.3">
      <c r="AV423" s="9"/>
    </row>
    <row r="424" spans="48:48" x14ac:dyDescent="0.3">
      <c r="AV424" s="9"/>
    </row>
    <row r="425" spans="48:48" x14ac:dyDescent="0.3">
      <c r="AV425" s="9"/>
    </row>
    <row r="426" spans="48:48" x14ac:dyDescent="0.3">
      <c r="AV426" s="9"/>
    </row>
    <row r="427" spans="48:48" x14ac:dyDescent="0.3">
      <c r="AV427" s="9"/>
    </row>
    <row r="428" spans="48:48" x14ac:dyDescent="0.3">
      <c r="AV428" s="9"/>
    </row>
    <row r="429" spans="48:48" x14ac:dyDescent="0.3">
      <c r="AV429" s="9"/>
    </row>
    <row r="430" spans="48:48" x14ac:dyDescent="0.3">
      <c r="AV430" s="9"/>
    </row>
    <row r="431" spans="48:48" x14ac:dyDescent="0.3">
      <c r="AV431" s="9"/>
    </row>
    <row r="432" spans="48:48" x14ac:dyDescent="0.3">
      <c r="AV432" s="9"/>
    </row>
    <row r="433" spans="48:48" x14ac:dyDescent="0.3">
      <c r="AV433" s="9"/>
    </row>
    <row r="434" spans="48:48" x14ac:dyDescent="0.3">
      <c r="AV434" s="9"/>
    </row>
    <row r="435" spans="48:48" x14ac:dyDescent="0.3">
      <c r="AV435" s="9"/>
    </row>
    <row r="436" spans="48:48" x14ac:dyDescent="0.3">
      <c r="AV436" s="9"/>
    </row>
    <row r="437" spans="48:48" x14ac:dyDescent="0.3">
      <c r="AV437" s="9"/>
    </row>
    <row r="438" spans="48:48" x14ac:dyDescent="0.3">
      <c r="AV438" s="9"/>
    </row>
    <row r="439" spans="48:48" x14ac:dyDescent="0.3">
      <c r="AV439" s="9"/>
    </row>
    <row r="440" spans="48:48" x14ac:dyDescent="0.3">
      <c r="AV440" s="9"/>
    </row>
    <row r="441" spans="48:48" x14ac:dyDescent="0.3">
      <c r="AV441" s="9"/>
    </row>
    <row r="442" spans="48:48" x14ac:dyDescent="0.3">
      <c r="AV442" s="9"/>
    </row>
    <row r="443" spans="48:48" x14ac:dyDescent="0.3">
      <c r="AV443" s="9"/>
    </row>
    <row r="444" spans="48:48" x14ac:dyDescent="0.3">
      <c r="AV444" s="9"/>
    </row>
    <row r="445" spans="48:48" x14ac:dyDescent="0.3">
      <c r="AV445" s="9"/>
    </row>
    <row r="446" spans="48:48" x14ac:dyDescent="0.3">
      <c r="AV446" s="9"/>
    </row>
    <row r="447" spans="48:48" x14ac:dyDescent="0.3">
      <c r="AV447" s="9"/>
    </row>
    <row r="448" spans="48:48" x14ac:dyDescent="0.3">
      <c r="AV448" s="9"/>
    </row>
    <row r="449" spans="48:48" x14ac:dyDescent="0.3">
      <c r="AV449" s="9"/>
    </row>
    <row r="450" spans="48:48" x14ac:dyDescent="0.3">
      <c r="AV450" s="9"/>
    </row>
    <row r="451" spans="48:48" x14ac:dyDescent="0.3">
      <c r="AV451" s="9"/>
    </row>
    <row r="452" spans="48:48" x14ac:dyDescent="0.3">
      <c r="AV452" s="9"/>
    </row>
    <row r="453" spans="48:48" x14ac:dyDescent="0.3">
      <c r="AV453" s="9"/>
    </row>
    <row r="454" spans="48:48" x14ac:dyDescent="0.3">
      <c r="AV454" s="9"/>
    </row>
    <row r="455" spans="48:48" x14ac:dyDescent="0.3">
      <c r="AV455" s="9"/>
    </row>
    <row r="456" spans="48:48" x14ac:dyDescent="0.3">
      <c r="AV456" s="9"/>
    </row>
    <row r="457" spans="48:48" x14ac:dyDescent="0.3">
      <c r="AV457" s="9"/>
    </row>
    <row r="458" spans="48:48" x14ac:dyDescent="0.3">
      <c r="AV458" s="9"/>
    </row>
    <row r="459" spans="48:48" x14ac:dyDescent="0.3">
      <c r="AV459" s="9"/>
    </row>
    <row r="460" spans="48:48" x14ac:dyDescent="0.3">
      <c r="AV460" s="9"/>
    </row>
    <row r="461" spans="48:48" x14ac:dyDescent="0.3">
      <c r="AV461" s="9"/>
    </row>
    <row r="462" spans="48:48" x14ac:dyDescent="0.3">
      <c r="AV462" s="9"/>
    </row>
    <row r="463" spans="48:48" x14ac:dyDescent="0.3">
      <c r="AV463" s="9"/>
    </row>
    <row r="464" spans="48:48" x14ac:dyDescent="0.3">
      <c r="AV464" s="9"/>
    </row>
    <row r="465" spans="48:48" x14ac:dyDescent="0.3">
      <c r="AV465" s="9"/>
    </row>
    <row r="466" spans="48:48" x14ac:dyDescent="0.3">
      <c r="AV466" s="9"/>
    </row>
    <row r="467" spans="48:48" x14ac:dyDescent="0.3">
      <c r="AV467" s="9"/>
    </row>
    <row r="468" spans="48:48" x14ac:dyDescent="0.3">
      <c r="AV468" s="9"/>
    </row>
    <row r="469" spans="48:48" x14ac:dyDescent="0.3">
      <c r="AV469" s="9"/>
    </row>
    <row r="470" spans="48:48" x14ac:dyDescent="0.3">
      <c r="AV470" s="9"/>
    </row>
    <row r="471" spans="48:48" x14ac:dyDescent="0.3">
      <c r="AV471" s="9"/>
    </row>
    <row r="472" spans="48:48" x14ac:dyDescent="0.3">
      <c r="AV472" s="9"/>
    </row>
    <row r="473" spans="48:48" x14ac:dyDescent="0.3">
      <c r="AV473" s="9"/>
    </row>
    <row r="474" spans="48:48" x14ac:dyDescent="0.3">
      <c r="AV474" s="9"/>
    </row>
    <row r="475" spans="48:48" x14ac:dyDescent="0.3">
      <c r="AV475" s="9"/>
    </row>
    <row r="476" spans="48:48" x14ac:dyDescent="0.3">
      <c r="AV476" s="9"/>
    </row>
    <row r="477" spans="48:48" x14ac:dyDescent="0.3">
      <c r="AV477" s="9"/>
    </row>
    <row r="478" spans="48:48" x14ac:dyDescent="0.3">
      <c r="AV478" s="9"/>
    </row>
    <row r="479" spans="48:48" x14ac:dyDescent="0.3">
      <c r="AV479" s="9"/>
    </row>
    <row r="480" spans="48:48" x14ac:dyDescent="0.3">
      <c r="AV480" s="9"/>
    </row>
    <row r="481" spans="48:48" x14ac:dyDescent="0.3">
      <c r="AV481" s="9"/>
    </row>
    <row r="482" spans="48:48" x14ac:dyDescent="0.3">
      <c r="AV482" s="9"/>
    </row>
    <row r="483" spans="48:48" x14ac:dyDescent="0.3">
      <c r="AV483" s="9"/>
    </row>
    <row r="484" spans="48:48" x14ac:dyDescent="0.3">
      <c r="AV484" s="9"/>
    </row>
    <row r="485" spans="48:48" x14ac:dyDescent="0.3">
      <c r="AV485" s="9"/>
    </row>
    <row r="486" spans="48:48" x14ac:dyDescent="0.3">
      <c r="AV486" s="9"/>
    </row>
    <row r="487" spans="48:48" x14ac:dyDescent="0.3">
      <c r="AV487" s="9"/>
    </row>
    <row r="488" spans="48:48" x14ac:dyDescent="0.3">
      <c r="AV488" s="9"/>
    </row>
    <row r="489" spans="48:48" x14ac:dyDescent="0.3">
      <c r="AV489" s="9"/>
    </row>
    <row r="490" spans="48:48" x14ac:dyDescent="0.3">
      <c r="AV490" s="9"/>
    </row>
    <row r="491" spans="48:48" x14ac:dyDescent="0.3">
      <c r="AV491" s="9"/>
    </row>
    <row r="492" spans="48:48" x14ac:dyDescent="0.3">
      <c r="AV492" s="9"/>
    </row>
    <row r="493" spans="48:48" x14ac:dyDescent="0.3">
      <c r="AV493" s="9"/>
    </row>
    <row r="494" spans="48:48" x14ac:dyDescent="0.3">
      <c r="AV494" s="9"/>
    </row>
    <row r="495" spans="48:48" x14ac:dyDescent="0.3">
      <c r="AV495" s="9"/>
    </row>
    <row r="496" spans="48:48" x14ac:dyDescent="0.3">
      <c r="AV496" s="9"/>
    </row>
    <row r="497" spans="48:48" x14ac:dyDescent="0.3">
      <c r="AV497" s="9"/>
    </row>
    <row r="498" spans="48:48" x14ac:dyDescent="0.3">
      <c r="AV498" s="9"/>
    </row>
    <row r="499" spans="48:48" x14ac:dyDescent="0.3">
      <c r="AV499" s="9"/>
    </row>
    <row r="500" spans="48:48" x14ac:dyDescent="0.3">
      <c r="AV500" s="9"/>
    </row>
    <row r="501" spans="48:48" x14ac:dyDescent="0.3">
      <c r="AV501" s="9"/>
    </row>
    <row r="502" spans="48:48" x14ac:dyDescent="0.3">
      <c r="AV502" s="9"/>
    </row>
    <row r="503" spans="48:48" x14ac:dyDescent="0.3">
      <c r="AV503" s="9"/>
    </row>
    <row r="504" spans="48:48" x14ac:dyDescent="0.3">
      <c r="AV504" s="9"/>
    </row>
    <row r="505" spans="48:48" x14ac:dyDescent="0.3">
      <c r="AV505" s="9"/>
    </row>
    <row r="506" spans="48:48" x14ac:dyDescent="0.3">
      <c r="AV506" s="9"/>
    </row>
    <row r="507" spans="48:48" x14ac:dyDescent="0.3">
      <c r="AV507" s="9"/>
    </row>
    <row r="508" spans="48:48" x14ac:dyDescent="0.3">
      <c r="AV508" s="9"/>
    </row>
    <row r="509" spans="48:48" x14ac:dyDescent="0.3">
      <c r="AV509" s="9"/>
    </row>
    <row r="510" spans="48:48" x14ac:dyDescent="0.3">
      <c r="AV510" s="9"/>
    </row>
    <row r="511" spans="48:48" x14ac:dyDescent="0.3">
      <c r="AV511" s="9"/>
    </row>
    <row r="512" spans="48:48" x14ac:dyDescent="0.3">
      <c r="AV512" s="9"/>
    </row>
    <row r="513" spans="48:48" x14ac:dyDescent="0.3">
      <c r="AV513" s="9"/>
    </row>
    <row r="514" spans="48:48" x14ac:dyDescent="0.3">
      <c r="AV514" s="9"/>
    </row>
    <row r="515" spans="48:48" x14ac:dyDescent="0.3">
      <c r="AV515" s="9"/>
    </row>
    <row r="516" spans="48:48" x14ac:dyDescent="0.3">
      <c r="AV516" s="9"/>
    </row>
    <row r="517" spans="48:48" x14ac:dyDescent="0.3">
      <c r="AV517" s="9"/>
    </row>
    <row r="518" spans="48:48" x14ac:dyDescent="0.3">
      <c r="AV518" s="9"/>
    </row>
    <row r="519" spans="48:48" x14ac:dyDescent="0.3">
      <c r="AV519" s="9"/>
    </row>
    <row r="520" spans="48:48" x14ac:dyDescent="0.3">
      <c r="AV520" s="9"/>
    </row>
    <row r="521" spans="48:48" x14ac:dyDescent="0.3">
      <c r="AV521" s="9"/>
    </row>
    <row r="522" spans="48:48" x14ac:dyDescent="0.3">
      <c r="AV522" s="9"/>
    </row>
    <row r="523" spans="48:48" x14ac:dyDescent="0.3">
      <c r="AV523" s="9"/>
    </row>
    <row r="524" spans="48:48" x14ac:dyDescent="0.3">
      <c r="AV524" s="9"/>
    </row>
    <row r="525" spans="48:48" x14ac:dyDescent="0.3">
      <c r="AV525" s="9"/>
    </row>
    <row r="526" spans="48:48" x14ac:dyDescent="0.3">
      <c r="AV526" s="9"/>
    </row>
    <row r="527" spans="48:48" x14ac:dyDescent="0.3">
      <c r="AV527" s="9"/>
    </row>
    <row r="528" spans="48:48" x14ac:dyDescent="0.3">
      <c r="AV528" s="9"/>
    </row>
    <row r="529" spans="48:48" x14ac:dyDescent="0.3">
      <c r="AV529" s="9"/>
    </row>
    <row r="530" spans="48:48" x14ac:dyDescent="0.3">
      <c r="AV530" s="9"/>
    </row>
    <row r="531" spans="48:48" x14ac:dyDescent="0.3">
      <c r="AV531" s="9"/>
    </row>
    <row r="532" spans="48:48" x14ac:dyDescent="0.3">
      <c r="AV532" s="9"/>
    </row>
    <row r="533" spans="48:48" x14ac:dyDescent="0.3">
      <c r="AV533" s="9"/>
    </row>
    <row r="534" spans="48:48" x14ac:dyDescent="0.3">
      <c r="AV534" s="9"/>
    </row>
    <row r="535" spans="48:48" x14ac:dyDescent="0.3">
      <c r="AV535" s="9"/>
    </row>
    <row r="536" spans="48:48" x14ac:dyDescent="0.3">
      <c r="AV536" s="9"/>
    </row>
    <row r="537" spans="48:48" x14ac:dyDescent="0.3">
      <c r="AV537" s="9"/>
    </row>
    <row r="538" spans="48:48" x14ac:dyDescent="0.3">
      <c r="AV538" s="9"/>
    </row>
    <row r="539" spans="48:48" x14ac:dyDescent="0.3">
      <c r="AV539" s="9"/>
    </row>
    <row r="540" spans="48:48" x14ac:dyDescent="0.3">
      <c r="AV540" s="9"/>
    </row>
    <row r="541" spans="48:48" x14ac:dyDescent="0.3">
      <c r="AV541" s="9"/>
    </row>
    <row r="542" spans="48:48" x14ac:dyDescent="0.3">
      <c r="AV542" s="9"/>
    </row>
    <row r="543" spans="48:48" x14ac:dyDescent="0.3">
      <c r="AV543" s="9"/>
    </row>
    <row r="544" spans="48:48" x14ac:dyDescent="0.3">
      <c r="AV544" s="9"/>
    </row>
    <row r="545" spans="48:48" x14ac:dyDescent="0.3">
      <c r="AV545" s="9"/>
    </row>
    <row r="546" spans="48:48" x14ac:dyDescent="0.3">
      <c r="AV546" s="9"/>
    </row>
    <row r="547" spans="48:48" x14ac:dyDescent="0.3">
      <c r="AV547" s="9"/>
    </row>
    <row r="548" spans="48:48" x14ac:dyDescent="0.3">
      <c r="AV548" s="9"/>
    </row>
    <row r="549" spans="48:48" x14ac:dyDescent="0.3">
      <c r="AV549" s="9"/>
    </row>
    <row r="550" spans="48:48" x14ac:dyDescent="0.3">
      <c r="AV550" s="9"/>
    </row>
    <row r="551" spans="48:48" x14ac:dyDescent="0.3">
      <c r="AV551" s="9"/>
    </row>
    <row r="552" spans="48:48" x14ac:dyDescent="0.3">
      <c r="AV552" s="9"/>
    </row>
    <row r="553" spans="48:48" x14ac:dyDescent="0.3">
      <c r="AV553" s="9"/>
    </row>
    <row r="554" spans="48:48" x14ac:dyDescent="0.3">
      <c r="AV554" s="9"/>
    </row>
    <row r="555" spans="48:48" x14ac:dyDescent="0.3">
      <c r="AV555" s="9"/>
    </row>
    <row r="556" spans="48:48" x14ac:dyDescent="0.3">
      <c r="AV556" s="9"/>
    </row>
    <row r="557" spans="48:48" x14ac:dyDescent="0.3">
      <c r="AV557" s="9"/>
    </row>
    <row r="558" spans="48:48" x14ac:dyDescent="0.3">
      <c r="AV558" s="9"/>
    </row>
    <row r="559" spans="48:48" x14ac:dyDescent="0.3">
      <c r="AV559" s="9"/>
    </row>
    <row r="560" spans="48:48" x14ac:dyDescent="0.3">
      <c r="AV560" s="9"/>
    </row>
    <row r="561" spans="48:48" x14ac:dyDescent="0.3">
      <c r="AV561" s="9"/>
    </row>
    <row r="562" spans="48:48" x14ac:dyDescent="0.3">
      <c r="AV562" s="9"/>
    </row>
    <row r="563" spans="48:48" x14ac:dyDescent="0.3">
      <c r="AV563" s="9"/>
    </row>
    <row r="564" spans="48:48" x14ac:dyDescent="0.3">
      <c r="AV564" s="9"/>
    </row>
    <row r="565" spans="48:48" x14ac:dyDescent="0.3">
      <c r="AV565" s="9"/>
    </row>
    <row r="566" spans="48:48" x14ac:dyDescent="0.3">
      <c r="AV566" s="9"/>
    </row>
    <row r="567" spans="48:48" x14ac:dyDescent="0.3">
      <c r="AV567" s="9"/>
    </row>
    <row r="568" spans="48:48" x14ac:dyDescent="0.3">
      <c r="AV568" s="9"/>
    </row>
    <row r="569" spans="48:48" x14ac:dyDescent="0.3">
      <c r="AV569" s="9"/>
    </row>
    <row r="570" spans="48:48" x14ac:dyDescent="0.3">
      <c r="AV570" s="9"/>
    </row>
    <row r="571" spans="48:48" x14ac:dyDescent="0.3">
      <c r="AV571" s="9"/>
    </row>
    <row r="572" spans="48:48" x14ac:dyDescent="0.3">
      <c r="AV572" s="9"/>
    </row>
    <row r="573" spans="48:48" x14ac:dyDescent="0.3">
      <c r="AV573" s="9"/>
    </row>
    <row r="574" spans="48:48" x14ac:dyDescent="0.3">
      <c r="AV574" s="9"/>
    </row>
    <row r="575" spans="48:48" x14ac:dyDescent="0.3">
      <c r="AV575" s="9"/>
    </row>
    <row r="576" spans="48:48" x14ac:dyDescent="0.3">
      <c r="AV576" s="9"/>
    </row>
    <row r="577" spans="48:48" x14ac:dyDescent="0.3">
      <c r="AV577" s="9"/>
    </row>
    <row r="578" spans="48:48" x14ac:dyDescent="0.3">
      <c r="AV578" s="9"/>
    </row>
    <row r="579" spans="48:48" x14ac:dyDescent="0.3">
      <c r="AV579" s="9"/>
    </row>
    <row r="580" spans="48:48" x14ac:dyDescent="0.3">
      <c r="AV580" s="9"/>
    </row>
    <row r="581" spans="48:48" x14ac:dyDescent="0.3">
      <c r="AV581" s="9"/>
    </row>
    <row r="582" spans="48:48" x14ac:dyDescent="0.3">
      <c r="AV582" s="9"/>
    </row>
    <row r="583" spans="48:48" x14ac:dyDescent="0.3">
      <c r="AV583" s="9"/>
    </row>
    <row r="584" spans="48:48" x14ac:dyDescent="0.3">
      <c r="AV584" s="9"/>
    </row>
    <row r="585" spans="48:48" x14ac:dyDescent="0.3">
      <c r="AV585" s="9"/>
    </row>
    <row r="586" spans="48:48" x14ac:dyDescent="0.3">
      <c r="AV586" s="9"/>
    </row>
    <row r="587" spans="48:48" x14ac:dyDescent="0.3">
      <c r="AV587" s="9"/>
    </row>
    <row r="588" spans="48:48" x14ac:dyDescent="0.3">
      <c r="AV588" s="9"/>
    </row>
    <row r="589" spans="48:48" x14ac:dyDescent="0.3">
      <c r="AV589" s="9"/>
    </row>
    <row r="590" spans="48:48" x14ac:dyDescent="0.3">
      <c r="AV590" s="9"/>
    </row>
    <row r="591" spans="48:48" x14ac:dyDescent="0.3">
      <c r="AV591" s="9"/>
    </row>
    <row r="592" spans="48:48" x14ac:dyDescent="0.3">
      <c r="AV592" s="9"/>
    </row>
    <row r="593" spans="48:48" x14ac:dyDescent="0.3">
      <c r="AV593" s="9"/>
    </row>
    <row r="594" spans="48:48" x14ac:dyDescent="0.3">
      <c r="AV594" s="9"/>
    </row>
    <row r="595" spans="48:48" x14ac:dyDescent="0.3">
      <c r="AV595" s="9"/>
    </row>
    <row r="596" spans="48:48" x14ac:dyDescent="0.3">
      <c r="AV596" s="9"/>
    </row>
    <row r="597" spans="48:48" x14ac:dyDescent="0.3">
      <c r="AV597" s="9"/>
    </row>
  </sheetData>
  <protectedRanges>
    <protectedRange algorithmName="SHA-512" hashValue="iwoSE/FDXV/JsChWwXGoucnDwD1x0FlP6OslK+U7fDDgUBc+pDyvOSOW4zENvmoMT0Nsb2Vhz9GRxNpHR4zisg==" saltValue="TzalA4PQG9pcxOiFi+fjzg==" spinCount="100000" sqref="B4:D5 AV36:BA36 BB36:BB1048576 E37:BA1048576 B6:C6 G6 BC33:XFD1048576 D1:XFD3 H4:XFD6 D6:D1048576 E7:XFD8 AH33:BB35 AH9:XFD32 E9:AD35" name="Intervalo1_34"/>
    <protectedRange algorithmName="SHA-512" hashValue="iwoSE/FDXV/JsChWwXGoucnDwD1x0FlP6OslK+U7fDDgUBc+pDyvOSOW4zENvmoMT0Nsb2Vhz9GRxNpHR4zisg==" saltValue="TzalA4PQG9pcxOiFi+fjzg==" spinCount="100000" sqref="AE9:AG35" name="Intervalo1_34_1"/>
  </protectedRanges>
  <pageMargins left="0.511811024" right="0.511811024" top="0.78740157499999996" bottom="0.78740157499999996" header="0.31496062000000002" footer="0.31496062000000002"/>
  <pageSetup paperSize="9" orientation="portrait" r:id="rId1"/>
  <drawing r:id="rId2"/>
  <tableParts count="2">
    <tablePart r:id="rId3"/>
    <tablePart r:id="rId4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89744C0-021C-4762-9A5D-FF3FEB64B44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Relatório 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Edilane Baima Alvarenga</dc:creator>
  <cp:lastModifiedBy>Edilane Baima Alvarenga</cp:lastModifiedBy>
  <dcterms:created xsi:type="dcterms:W3CDTF">2026-05-25T14:09:19Z</dcterms:created>
  <dcterms:modified xsi:type="dcterms:W3CDTF">2026-05-25T18:11:03Z</dcterms:modified>
</cp:coreProperties>
</file>